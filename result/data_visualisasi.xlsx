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00 Work Hunting\2025-10-09 Jawa Pos - Data Analyst\Assesment\analysis\data\"/>
    </mc:Choice>
  </mc:AlternateContent>
  <xr:revisionPtr revIDLastSave="0" documentId="13_ncr:1_{A90A0D1D-8B19-4D69-A171-4BCCF9669463}" xr6:coauthVersionLast="47" xr6:coauthVersionMax="47" xr10:uidLastSave="{00000000-0000-0000-0000-000000000000}"/>
  <bookViews>
    <workbookView xWindow="-108" yWindow="-108" windowWidth="23256" windowHeight="12456" firstSheet="1" activeTab="8" xr2:uid="{80CC82BB-C163-47F7-B6C4-63B582FC8C08}"/>
  </bookViews>
  <sheets>
    <sheet name="RAW" sheetId="1" r:id="rId1"/>
    <sheet name="Data" sheetId="2" r:id="rId2"/>
    <sheet name="User" sheetId="10" r:id="rId3"/>
    <sheet name="Tren" sheetId="7" r:id="rId4"/>
    <sheet name="Sentimen" sheetId="4" r:id="rId5"/>
    <sheet name="Tren Sentimen" sheetId="8" r:id="rId6"/>
    <sheet name="Tema" sheetId="11" r:id="rId7"/>
    <sheet name="Opsi Iklan" sheetId="12" r:id="rId8"/>
    <sheet name="Channel Efektif" sheetId="13" r:id="rId9"/>
  </sheets>
  <calcPr calcId="191029"/>
  <pivotCaches>
    <pivotCache cacheId="19" r:id="rId10"/>
  </pivotCaches>
</workbook>
</file>

<file path=xl/calcChain.xml><?xml version="1.0" encoding="utf-8"?>
<calcChain xmlns="http://schemas.openxmlformats.org/spreadsheetml/2006/main">
  <c r="K109" i="2" l="1" a="1"/>
  <c r="K109" i="2" s="1"/>
  <c r="C109" i="2" a="1"/>
  <c r="C109" i="2" s="1"/>
  <c r="H109"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Q109" i="2"/>
</calcChain>
</file>

<file path=xl/sharedStrings.xml><?xml version="1.0" encoding="utf-8"?>
<sst xmlns="http://schemas.openxmlformats.org/spreadsheetml/2006/main" count="1782" uniqueCount="798">
  <si>
    <t>Date</t>
  </si>
  <si>
    <t>Message</t>
  </si>
  <si>
    <t>Profile</t>
  </si>
  <si>
    <t>Network</t>
  </si>
  <si>
    <t>Like</t>
  </si>
  <si>
    <t>comment</t>
  </si>
  <si>
    <t>Shares</t>
  </si>
  <si>
    <t>interaction rate</t>
  </si>
  <si>
    <t>Message-ID</t>
  </si>
  <si>
    <t>Profile-ID</t>
  </si>
  <si>
    <t>Link</t>
  </si>
  <si>
    <t>messege_processed</t>
  </si>
  <si>
    <t>hashtags</t>
  </si>
  <si>
    <t>tokens</t>
  </si>
  <si>
    <t>sentimen</t>
  </si>
  <si>
    <t>sentimen_score</t>
  </si>
  <si>
    <t>Gubernur Jawa Barat Dedi Mulyadi alias KDM mengungkap fakta soal sumber air minum dalam kemasan (AMDK) yang selama ini diyakini berasal dari mata air pegunungan. Melalui video sidak yang diunggah di kanal youtubenya pada Selasa (21/10/2025).
KDM menemukan bahwa air produksi salah satu perusahaan besar itu ternyata berasal dari air tanah dalam hasil pengeboran artesis sedalam lebih dari seratus meter.
Temuan ini memicu pertanyaan soal dampak eksploitasi air tanah terhadap lingkungan dan warga sekitar. Pasalnya, sejumlah penelitian menunjukkan penurunan muka air tanah di beberapa daerah industri air minum mencapai 1â€“3 meter per tahun.
Data 2023 mencatat, produsen terbesar AMDK di Indonesia, Danone-AQUA (sehataqua ), menggunakan 15.737,79 megaliter air tanah atau setara 43 ribu meter kubik per hari. Sebagian besar diambil dari akuifer vulkanik tua, cadangan air purba yang tidak mudah tergantikan.
Meski secara hukum tak melanggar, praktik ini menimbulkan kritik terkait keberlanjutan sumber daya air dan kejujuran label produk. Sebab, iklan dan kemasan air masih menggambarkan kesan â€œsumber pegunungan alamiâ€, padahal prosesnya melibatkan pengeboran industri bertekanan tinggi di balik dinding pabrik. (Apr)</t>
  </si>
  <si>
    <t>FAJAR.CO.ID</t>
  </si>
  <si>
    <t>INSTAGRAM</t>
  </si>
  <si>
    <t>https://www.instagram.com/reel/DQGDH4jEV1a/</t>
  </si>
  <si>
    <t>gubernur jawa barat dedi mulyadi alias kdm mengungkap fakta sumber air minum kemasan amdk diyakini berasal mata air pegunungan video sidak diunggah kanal youtubenya selasa kdm menemukan air produksi salah perusahaan berasal air tanah hasil pengeboran artesis sedalam seratus meter temuan memicu dampak eksploitasi air tanah lingkungan warga pasalnya penelitian penurunan muka air tanah daerah industri air minum mencapai meter data mencatat produsen terbesar amdk indonesia danoneaqua sehataqua megaliter air tanah setara ribu meter kubik diambil akuifer vulkanik tua cadangan air purba mudah tergantikan hukum melanggar praktik menimbulkan kritik terkait keberlanjutan sumber daya air kejujuran label produk iklan kemasan air menggambarkan kesan sumber pegunungan alami prosesnya melibatkan pengeboran industri bertekanan dinding pabrik apr</t>
  </si>
  <si>
    <t>[]</t>
  </si>
  <si>
    <t>['gubernur', 'jawa', 'barat', 'dedi', 'mulyadi', 'alias', 'kdm', 'mengungkap', 'fakta', 'sumber', 'air', 'minum', 'kemasan', 'amdk', 'diyakini', 'berasal', 'mata', 'air', 'pegunungan', 'video', 'sidak', 'diunggah', 'kanal', 'youtubenya', 'selasa', 'kdm', 'menemukan', 'air', 'produksi', 'salah', 'perusahaan', 'berasal', 'air', 'tanah', 'hasil', 'pengeboran', 'artesis', 'sedalam', 'seratus', 'meter', 'temuan', 'memicu', 'dampak', 'eksploitasi', 'air', 'tanah', 'lingkungan', 'warga', 'pasalnya', 'penelitian', 'penurunan', 'muka', 'air', 'tanah', 'daerah', 'industri', 'air', 'minum', 'mencapai', 'meter', 'data', 'mencatat', 'produsen', 'terbesar', 'amdk', 'indonesia', 'danoneaqua', 'sehataqua', 'megaliter', 'air', 'tanah', 'setara', 'ribu', 'meter', 'kubik', 'diambil', 'akuifer', 'vulkanik', 'tua', 'cadangan', 'air', 'purba', 'mudah', 'tergantikan', 'hukum', 'melanggar', 'praktik', 'menimbulkan', 'kritik', 'terkait', 'keberlanjutan', 'sumber', 'daya', 'air', 'kejujuran', 'label', 'produk', 'iklan', 'kemasan', 'air', 'menggambarkan', 'kesan', 'sumber', 'pegunungan', 'alami', 'prosesnya', 'melibatkan', 'pengeboran', 'industri', 'bertekanan', 'dinding', 'pabrik', 'apr']</t>
  </si>
  <si>
    <t>Netral</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</si>
  <si>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tersebut.â€¨â€¨Sambil berjalan menuju area belakang pabrik, ia menyoroti kondisi lingkungan sekitar yang dinilainya rawan longsor dan mengaitkannya dengan aktivitas industri. 
Rupanya, air diambil menggunakan teknologi sumur bor dengan kedalaman mencapai 100 hingga 130 meter.â€¨â€¨Mendengar fakta itu, gubernur yang akrab disapa Kang Dedi Mulyadi ini sempat terdiam sejenak. 
â€¨â€”â€”â€¨Source: YT/kangdedimulyadichannelâ€¨
FollowÂ muslimvoxÂ for more info!
#MuslimvoxÂ #VoxOfMuslim</t>
  </si>
  <si>
    <t>Muslimvox</t>
  </si>
  <si>
    <t>https://www.instagram.com/p/DQG8rP8gfZR/</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</si>
  <si>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follow muslimvox for more info</t>
  </si>
  <si>
    <t>['muslimvox', 'voxofmuslim']</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</si>
  <si>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'follow', 'muslimvox', 'for', 'more', 'info']</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</si>
  <si>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â€œBanyak masyarakat mengira air kemasan ini murni dari mata air alami. Faktanya, sebagian besar berasal dari sumur bor yang mengambil air tanah purba,â€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1â€“3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t>
  </si>
  <si>
    <t>Harian Haluan</t>
  </si>
  <si>
    <t>https://www.instagram.com/p/DQG5EE9knTS/</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</si>
  <si>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</si>
  <si>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t>
  </si>
  <si>
    <t>Inspeksi mendadak oleh Gubernur Jawa Barat, Dedi Mulyadi, di pabrik Aqua kawasan Subang, mengungkap fakta penting terkait sumber air mineral yang dipasarkan perusahaan. 
Dalam video di YouTube KANG DEDI MULYADI CHANNEL, Dedi meminta bertemu pimpinan perusahaan dan meninjau lokasi sumber air. Ia terkejut saat mengetahui bahwa air yang digunakan berasal dari sumur bor dalam, dengan kedalaman mencapai 100â€“130 meter, bukan dari mata air alami seperti yang selama ini dipersepsikan publik.
Kepada wartawan, Dedi menyebutkan, â€œSaya kira air dari mata air, ternyata dari sumur bor. Pengambilan air dari lapisan tanah dalam dapat berpengaruh serius terhadap lingkungan.â€ Ia juga menyoroti potensi kerusakan lingkungan, termasuk peningkatan kejadian banjir di wilayah yang sebelumnya tidak rawan.
Pihak perusahaan menjelaskan bahwa pengambilan dari sumber dalam dilakukan untuk menjaga kualitas air. Namun, Dedi mengingatkan, eksploitasi besar-besaran ini berisiko memicu bencana ekologis dan mengubah tata air di wilayah tersebut.
Sementara itu, warganet dan masyarakat menuntut klarifikasi dari Aqua terkait sumber air yang tidak sesuai dengan iklannya yang mengklaim sumbernya dari air pegunungan alami. Mereka meminta perusahaan untuk transparan dan jujur mengenai sumber air yang digunakan.
Menanggapi isu ini, manajemen Danone Indonesia menyatakan bahwa sumber air Aqua berasal dari sumber pegunungan yang terlindungi, dengan kedalaman 60â€“140 meter, dan melalui kajian dampak lingkungan serta masyarakat sebelum pengambilan.
Inspeksi ini membuka mata publik akan proses produksi air mineral dan pentingnya transparansi perusahaan terhadap sumber bahan baku yang digunakan, serta dampaknya terhadap keberlanjutan lingkungan.
Sumber : suaracom, cnn indonesia</t>
  </si>
  <si>
    <t>PENDAKI GUNUNG INDONESIA</t>
  </si>
  <si>
    <t>https://www.instagram.com/p/DQIe0fLk4nG/</t>
  </si>
  <si>
    <t>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t>
  </si>
  <si>
    <t>['inspeksi',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t>
  </si>
  <si>
    <t>Gubernur Jawa Barat Dedi Mulyadi melakukan kunjungan ke kawasan Pabrik AQUA di Kecamatan Cisalak, Kabupaten Subang, untuk menyerap aspirasi masyarakat sekitar pabrik. Dalam pertemuan itu, sejumlah warga menyampaikan keluhan terkait sulitnya mendapatkan air bersih meski tinggal di sekitar pabrik air minum terbesar di wilayah tersebut.
Dalam dialog yang berlangsung hangat, warga mengungkapkan bahwa selama ini mereka justru harus membeli air bersih dari pihak lain untuk kebutuhan sehari-hari. Padahal, di kawasan itu berdiri pabrik pengolahan air dalam kemasan yang selama ini dikenal memanfaatkan sumber air tanah setempat.</t>
  </si>
  <si>
    <t>SUBANG INFO</t>
  </si>
  <si>
    <t>https://www.instagram.com/reel/DQI54rogeR6/</t>
  </si>
  <si>
    <t>gubernur jawa barat dedi mulyadi kunjungan kawasan pabrik aqua kecamatan cisalak kabupaten subang menyerap aspirasi masyarakat pabrik pertemuan warga keluhan terkait sulitnya air bersih tinggal pabrik air minum terbesar wilayah dialog hangat warga membeli air bersih kebutuhan seharihari kawasan berdiri pabrik pengolahan air kemasan dikenal memanfaatkan sumber air tanah</t>
  </si>
  <si>
    <t>['gubernur', 'jawa', 'barat', 'dedi', 'mulyadi', 'kunjungan', 'kawasan', 'pabrik', 'aqua', 'kecamatan', 'cisalak', 'kabupaten', 'subang', 'menyerap', 'aspirasi', 'masyarakat', 'pabrik', 'pertemuan', 'warga', 'keluhan', 'terkait', 'sulitnya', 'air', 'bersih', 'tinggal', 'pabrik', 'air', 'minum', 'terbesar', 'wilayah', 'dialog', 'hangat', 'warga', 'membeli', 'air', 'bersih', 'kebutuhan', 'seharihari', 'kawasan', 'berdiri', 'pabrik', 'pengolahan', 'air', 'kemasan', 'dikenal', 'memanfaatkan', 'sumber', 'air', 'tanah']</t>
  </si>
  <si>
    <t>Positif</t>
  </si>
  <si>
    <t>Danone Indonesia buka suara soal konten di akun Youtube Gubernur Jawa Barat Dedi Mulyadi (Demul) alias KDM terkait sumber air Aqua. Dalam konten sidak Dedi Mulyadi itu, pengelola menyebut sumber air Aqua dari bawah tanah, bukan air permukaan.
Di akun Youtube KANGDEDIMULYADICHANNEL mulanya Dedi bertanya dari mana sumber air yang dipakai sebagai bahan baku air mineral dalam kemasan itu.
"Ngambil airnya dari sungai?" kata Dedi bertanya kepada salah satu staf yang menemuinya.
"Airnya dari bawah tanah pak," kata Staff tersebut.
Manajemen Danone Indonesia buka suara terkait konten Dedi Mulyadi ini.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Simak berita selengkapnya hanya di tvonenews.com
#HardNews_Viral #NewsOne #CariBeritaditvOne #DediMulyadi #AQUA #Danone #Viral #NO3</t>
  </si>
  <si>
    <t>tvOne</t>
  </si>
  <si>
    <t>https://www.instagram.com/p/DQHMmQLDjV4/</t>
  </si>
  <si>
    <t>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t>
  </si>
  <si>
    <t>['hardnews_viral', 'newsone', 'cariberitaditvone', 'dedimulyadi', 'aqua', 'danone', 'viral', 'no3']</t>
  </si>
  <si>
    <t>['danone',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t>
  </si>
  <si>
    <t>Danone Indonesia buka suara soal konten di akun Youtube Gubernur Jawa Barat Dedi Mulyadi (Demul) alias KDM terkait sumber air Aqua. Dalam konten sidak Dedi Mulyadi itu, pengelola menyebut sumber air Aqua dari bawah tanah, bukan air permukaan.
Di akun Youtube @KANGDEDIMULYADICHANNEL mulanya Dedi bertanya dari mana sumber air yang dipakai sebagai bahan baku air mineral dalam kemasan itu.
"Ngambil airnya dari sungai?" kata Dedi bertanya kepada salah satu staf yang menemuinya.
"Airnya dari bawah tanah pak," kata Staff tersebut.
Manajemen Danone Indonesia buka suara terkait konten Dedi Mulyadi ini.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Simak berita selengkapnya hanya di tvonenews.com
#HardNews_Viral #NewsOne #CariBeritaditvOne #DediMulyadi #AQUA #Danone #Viral #NO3</t>
  </si>
  <si>
    <t>tvOneNews</t>
  </si>
  <si>
    <t>FACEBOOK</t>
  </si>
  <si>
    <t>284251334961090_851150190900675</t>
  </si>
  <si>
    <t>https://www.facebook.com/225571246791909/posts/851150190900675</t>
  </si>
  <si>
    <t>Simak iklan Aqua dengan slogan :
1. 100% alami.
2. Berasal dari gunung-gunung terpilih.
3. Aqua disaring oleh lapisan bebatuan pelindung tanpa proses rekayasa.
4. Aqua mengandung mineral alami tanpa zat berbahaya.
5. Aqua terasa dingin tanpa didinginkan.</t>
  </si>
  <si>
    <t>https://www.instagram.com/reel/DQIcv9rgT1h/</t>
  </si>
  <si>
    <t>simak iklan aqua slogan alami berasal gununggunung terpilih aqua disaring lapisan bebatuan pelindung proses rekayasa aqua mengandung mineral alami zat berbahaya aqua dingin didinginkan</t>
  </si>
  <si>
    <t>['simak', 'iklan', 'aqua', 'slogan', 'alami', 'berasal', 'gununggunung', 'terpilih', 'aqua', 'disaring', 'lapisan', 'bebatuan', 'pelindung', 'proses', 'rekayasa', 'aqua', 'mengandung', 'mineral', 'alami', 'zat', 'berbahaya', 'aqua', 'dingin', 'didinginkan']</t>
  </si>
  <si>
    <t>PT Tirta Investama, produsen Aqua, memberikan klarifikasi resmi terkait kunjungan Gubernur Jawa Barat Dedi Mulyadi ke pabrik mereka di Subang, Jawa Barat. 
Klarifikasi ini bertujuan untuk menjawab berbagai isu yang muncul di media sosial, termasuk klaim bahwa Aqua menggunakan air dari sumur bor biasa, bukan dari sumber air pegunungan. 
Aqua menegaskan sumber air yang digunakan bukan berasal dari sumur bor biasa, melainkan dari akuifer dalam lapisan air tanah alami yang terbentuk di sistem hidrogeologi pegunungan.
"Tidak benar. AQUA menggunakan air dari akuifer dalam yang merupakan bagian dari sistem hidrogeologi pegunungan. Air ini terlindungi secara alami dan telah melalui proses seleksi serta kajian ilmiah oleh para ahli dari UGM dan Unpad. Sebagian titik sumber bahkan bersifat self-flowing atau mengalir secara alami," jelas Aqua dalam keterangan resminya.
Aqua memastikan bahwa sumber air yang mereka ambil dari akuifer dalam tidak berdampak pada sumber air yang digunakan masyarakat. 
Pengambilan air dilakukan sesuai izin resmi dan diawasi oleh Badan Geologi Kementerian ESDM serta pemerintah daerah. Aqua juga memiliki Kebijakan Perlindungan Air Tanah Dalam. 
Terkait potensi longsor, perusahaan menjelaskan bahwa proses pengambilan air diawasi secara ketat dan berdasarkan kajian dengan UGM, sehingga tidak menimbulkan pergeseran tanah atau longsor.
"Berdasarkan kajian bersama UGM, pengambilan air dilakukan secara terkendali dan tidak menyebabkan pergeseran tanah maupun longsor," tegas Danone-Aqua.
Via Danone-AQUA</t>
  </si>
  <si>
    <t>Trendingbuzz</t>
  </si>
  <si>
    <t>https://www.instagram.com/p/DQIzuE1AaBh/</t>
  </si>
  <si>
    <t>pt tirta investama produsen aqua klarifikasi resmi terkait kunjungan gubernur jawa barat dedi mulyadi pabrik subang jawa barat klarifikasi bertujuan isu muncul media sosial klaim aqua air sumur bor sumber air pegunungan aqua sumber air berasal sumur bor akuifer lapisan air tanah alami terbentuk sistem hidrogeologi pegunungan aqua air akuifer sistem hidrogeologi pegunungan air terlindungi alami proses seleksi kajian ilmiah ahli ugm unpad titik sumber bersifat selfflowing mengalir alami aqua keterangan resminya aqua sumber air ambil akuifer berdampak sumber air masyarakat pengambilan air sesuai izin resmi diawasi badan geologi kementerian esdm pemerintah daerah aqua memiliki kebijakan perlindungan air tanah terkait potensi longsor perusahaan proses pengambilan air diawasi ketat berdasarkan kajian ugm menimbulkan pergeseran tanah longsor berdasarkan kajian ugm pengambilan air terkendali menyebabkan pergeseran tanah longsor danoneaqua via danoneaqua</t>
  </si>
  <si>
    <t>['pt', 'tirta', 'investama', 'produsen', 'aqua', 'klarifikasi', 'resmi', 'terkait', 'kunjungan', 'gubernur', 'jawa', 'barat', 'dedi', 'mulyadi', 'pabrik', 'subang', 'jawa', 'barat', 'klarifikasi', 'bertujuan', 'isu', 'muncul', 'media', 'sosial', 'klaim', 'aqua', 'air', 'sumur', 'bor', 'sumber', 'air', 'pegunungan', 'aqua', 'sumber', 'air', 'berasal', 'sumur', 'bor', 'akuifer', 'lapisan', 'air', 'tanah', 'alami', 'terbentuk', 'sistem', 'hidrogeologi', 'pegunungan', 'aqua', 'air', 'akuifer', 'sistem', 'hidrogeologi', 'pegunungan', 'air', 'terlindungi', 'alami', 'proses', 'seleksi', 'kajian', 'ilmiah', 'ahli', 'ugm', 'unpad', 'titik', 'sumber', 'bersifat', 'selfflowing', 'mengalir', 'alami', 'aqua', 'keterangan', 'resminya', 'aqua', 'sumber', 'air', 'ambil', 'akuifer', 'berdampak', 'sumber', 'air', 'masyarakat', 'pengambilan', 'air', 'sesuai', 'izin', 'resmi', 'diawasi', 'badan', 'geologi', 'kementerian', 'esdm', 'pemerintah', 'daerah', 'aqua', 'memiliki', 'kebijakan', 'perlindungan', 'air', 'tanah', 'terkait', 'potensi', 'longsor', 'perusahaan', 'proses', 'pengambilan', 'air', 'diawasi', 'ketat', 'berdasarkan', 'kajian', 'ugm', 'menimbulkan', 'pergeseran', 'tanah', 'longsor', 'berdasarkan', 'kajian', 'ugm', 'pengambilan', 'air', 'terkendali', 'menyebabkan', 'pergeseran', 'tanah', 'longsor', 'danoneaqua', 'via', 'danoneaqua']</t>
  </si>
  <si>
    <t>Gubernur Jawa Barat, Dedi Mulyadi, melakukan inspeksi mendadak (sidak) ke pabrik Aqua di Subang pada Senin, 20 Oktober 2025. Kunjungan ini bertujuan untuk memastikan klaim perusahaan tentang sumber air mineral yang dipasarkan sebagai air pegunungan. Namun, fakta yang ditemukan cukup mengejutkan.
Saat meninjau lokasi pabrik dan proses pengambilan air, Dedi Mulyadi menemukan bahwa sumber air Aqua bukan berasal dari pegunungan seperti klaim iklan. Air tersebut justru diperoleh dari sumur bor dengan kedalaman 100 hingga 130 meter. Hal ini berbeda jauh dengan persepsi publik yang selama ini meyakini air mineral tersebut murni dari mata air pegunungan alami.
â€œIni fakta yang harus diketahui masyarakat. Selama ini kita percaya air pegunungan, tapi ternyata berasal dari sumur bor. Ini menjadi perhatian kita, terutama soal dampak lingkungan,â€ ungkap Dedi Mulyadi dalam keterangannya di lokasi.
Dedi menyoroti potensi risiko lingkungan dari pengambilan air tanah dalam secara masif. Selain meningkatkan risiko longsor, hal ini juga bisa menimbulkan krisis air bersih bagi warga sekitar. Ia menegaskan, perusahaan besar yang mengambil sumber daya alam harus memerhatikan tanggung jawab sosial dan lingkungan.
Selain itu, Gubernur menekankan ketimpangan antara keuntungan besar perusahaan dan kondisi masyarakat yang kadang kesulitan mengakses air bersih. Menurutnya, keberadaan pabrik besar seharusnya menjadi kesempatan bagi masyarakat sekitar untuk merasakan manfaat, bukan justru merugikan mereka.
Kunjungan Dedi Mulyadi ke pabrik Aqua ini terekam dalam video yang diunggah di kanal YouTube @Kang Dedi Mulyadi Channel, yang kemudian viral di media sosial. Banyak warganet yang menyoroti fakta ini, mempertanyakan klaim pemasaran air mineral dari pegunungan dan meminta perusahaan untuk lebih transparan.
Sidak ini sekaligus menjadi pengingat bagi seluruh pihak terkait, bahwa pengelolaan sumber daya alam harus dilakukan secara bertanggung jawab. Dedi Mulyadi menekankan pentingnya regulasi yang tegas, agar perusahaan tidak hanya mengejar keuntungan, tetapi juga menjaga keseimbangan lingkungan dan kesejahteraan masyarakat.
Dengan temuan ini, publik kini lebih sadar bahwa klaim pemasaran suatu produk tidak selalu sejalan dengan fakta di lapangan. Sidak ini menjadi momentum bagi pemerintah daerah dan perusahaan untuk lebih transparan dan akuntabel dalam mengelola sumber daya alam.</t>
  </si>
  <si>
    <t>Suaradotcom</t>
  </si>
  <si>
    <t>636794109715023_1311328697693797</t>
  </si>
  <si>
    <t>https://www.facebook.com/351371880356155/posts/1311328697693797</t>
  </si>
  <si>
    <t>gubernur jawa barat dedi mulyadi inspeksi mendadak sidak pabrik aqua subang senin oktober kunjungan bertujuan klaim perusahaan sumber air mineral dipasarkan air pegunungan fakta ditemukan mengejutkan meninjau lokasi pabrik proses pengambilan air dedi mulyadi menemukan sumber air aqua berasal pegunungan klaim iklan air diperoleh sumur bor kedalaman meter berbeda persepsi publik air mineral murni mata air pegunungan alami fakta masyarakat percaya air pegunungan berasal sumur bor perhatian dampak lingkungan dedi mulyadi keterangannya lokasi dedi menyoroti potensi risiko lingkungan pengambilan air tanah masif meningkatkan risiko longsor menimbulkan krisis air bersih warga perusahaan mengambil sumber daya alam memerhatikan tanggung sosial lingkungan gubernur menekankan ketimpangan keuntungan perusahaan kondisi masyarakat kadang kesulitan mengakses air bersih menurutnya keberadaan pabrik kesempatan masyarakat merasakan manfaat merugikan kunjungan dedi mulyadi pabrik aqua terekam video diunggah kanal youtube kang dedi mulyadi channel viral media sosial warganet menyoroti fakta klaim pemasaran air mineral pegunungan perusahaan transparan sidak pengingat terkait pengelolaan sumber daya alam bertanggung dedi mulyadi menekankan regulasi perusahaan mengejar keuntungan menjaga keseimbangan lingkungan kesejahteraan masyarakat temuan publik sadar klaim pemasaran produk sejalan fakta lapangan sidak momentum pemerintah daerah perusahaan transparan akuntabel mengelola sumber daya alam</t>
  </si>
  <si>
    <t>['gubernur', 'jawa', 'barat', 'dedi', 'mulyadi', 'inspeksi', 'mendadak', 'sidak', 'pabrik', 'aqua', 'subang', 'senin', 'oktober', 'kunjungan', 'bertujuan', 'klaim', 'perusahaan', 'sumber', 'air', 'mineral', 'dipasarkan', 'air', 'pegunungan', 'fakta', 'ditemukan', 'mengejutkan', 'meninjau', 'lokasi', 'pabrik', 'proses', 'pengambilan', 'air', 'dedi', 'mulyadi', 'menemukan', 'sumber', 'air', 'aqua', 'berasal', 'pegunungan', 'klaim', 'iklan', 'air', 'diperoleh', 'sumur', 'bor', 'kedalaman', 'meter', 'berbeda', 'persepsi', 'publik', 'air', 'mineral', 'murni', 'mata', 'air', 'pegunungan', 'alami', 'fakta', 'masyarakat', 'percaya', 'air', 'pegunungan', 'berasal', 'sumur', 'bor', 'perhatian', 'dampak', 'lingkungan', 'dedi', 'mulyadi', 'keterangannya', 'lokasi', 'dedi', 'menyoroti', 'potensi', 'risiko', 'lingkungan', 'pengambilan', 'air', 'tanah', 'masif', 'meningkatkan', 'risiko', 'longsor', 'menimbulkan', 'krisis', 'air', 'bersih', 'warga', 'perusahaan', 'mengambil', 'sumber', 'daya', 'alam', 'memerhatikan', 'tanggung', 'sosial', 'lingkungan', 'gubernur', 'menekankan', 'ketimpangan', 'keuntungan', 'perusahaan', 'kondisi', 'masyarakat', 'kadang', 'kesulitan', 'mengakses', 'air', 'bersih', 'menurutnya', 'keberadaan', 'pabrik', 'kesempatan', 'masyarakat', 'merasakan', 'manfaat', 'merugikan', 'kunjungan', 'dedi', 'mulyadi', 'pabrik', 'aqua', 'terekam', 'video', 'diunggah', 'kanal', 'youtube', 'kang', 'dedi', 'mulyadi', 'channel', 'viral', 'media', 'sosial', 'warganet', 'menyoroti', 'fakta', 'klaim', 'pemasaran', 'air', 'mineral', 'pegunungan', 'perusahaan', 'transparan', 'sidak', 'pengingat', 'terkait', 'pengelolaan', 'sumber', 'daya', 'alam', 'bertanggung', 'dedi', 'mulyadi', 'menekankan', 'regulasi', 'perusahaan', 'mengejar', 'keuntungan', 'menjaga', 'keseimbangan', 'lingkungan', 'kesejahteraan', 'masyarakat', 'temuan', 'publik', 'sadar', 'klaim', 'pemasaran', 'produk', 'sejalan', 'fakta', 'lapangan', 'sidak', 'momentum', 'pemerintah', 'daerah', 'perusahaan', 'transparan', 'akuntabel', 'mengelola', 'sumber', 'daya', 'alam']</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</si>
  <si>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â€œPantesan mobilnya udah 15 tahun. Mobil tua, tiap hari nanjak, bawa beban berat. Lolos rem, ya pasti,â€ kata KDM.
Yang bikin miris, sopir-sopir tua masih disuruh angkut 13 ton galon cuma dibayar Rp125 ribu/hari.
KDM pun menegur keras pihak perusahaan:
â€œMalu dong, perusahaan besar kerja sama dengan angkutan murah tapi berisiko tinggi.â€
?? KDM juga minta semua transporter Aqua diganti agar sesuai standar keselamatan â€” biar nggak ada lagi nyawa melayang karena kelalaian.
 inilah_com</t>
  </si>
  <si>
    <t>INDONESIA MENGAJI ID</t>
  </si>
  <si>
    <t>https://www.instagram.com/reel/DQJnhLwiTNE/</t>
  </si>
  <si>
    <t>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inilahcom</t>
  </si>
  <si>
    <t>['duh',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'inilahcom']</t>
  </si>
  <si>
    <t>Negatif</t>
  </si>
  <si>
    <t>The real gunung Aqua? ??
Seorang pendaki memperlihatkan gugusan gunung yang mirip dengan logo Aqua. Pemandangan itu adalah Gunung Sindoro dan Gunung Sumbing yang berada di Kabupaten Wonosobo, Jawa Tengah. Jika melihat ikatan historisnya, pendiri Aqua Tirto Utomo memang lahir di Wonosobo.
Jadi, benarkah ini pemandangan asli dari logo ikonik Aqua?
#gunung #gunungaqua #gunungsindoro #gunungsumbing</t>
  </si>
  <si>
    <t>FYI Fact</t>
  </si>
  <si>
    <t>https://www.instagram.com/reel/DQJyZeGkuTl/</t>
  </si>
  <si>
    <t>the real gunung aqua pendaki gugusan gunung logo aqua pemandangan gunung sindoro gunung sumbing kabupaten wonosobo jawa ikatan historisnya pendiri aqua tirto utomo lahir wonosobo pemandangan asli logo ikonik aqua</t>
  </si>
  <si>
    <t>['gunung', 'gunungaqua', 'gunungsindoro', 'gunungsumbing']</t>
  </si>
  <si>
    <t>['the', 'real', 'gunung', 'aqua', 'pendaki', 'gugusan', 'gunung', 'logo', 'aqua', 'pemandangan', 'gunung', 'sindoro', 'gunung', 'sumbing', 'kabupaten', 'wonosobo', 'jawa', 'ikatan', 'historisnya', 'pendiri', 'aqua', 'tirto', 'utomo', 'lahir', 'wonosobo', 'pemandangan', 'asli', 'logo', 'ikonik', 'aqua']</t>
  </si>
  <si>
    <t>Badan Perlindungan Konsumen Nasional (BPKN RI) mengambil langkah tegas dengan rencana memanggil jajaran direksi PT Tirta Investama, produsen air minum dalam kemasan (AMDK) merek Aqua. Langkah ini menyusul dugaan serius bahwa sumber air yang digunakan Aqua berasal dari sumur bor atau air tanah, bukan dari mata air pegunungan murni seperti yang selama ini gencar diklaim dalam iklan mereka.
Kabar ini dipastikan langsung oleh Ketua BPKN RI, Mufti Mubarok, yang menyatakan bahwa pihaknya tidak akan tinggal diam terhadap isu yang meresahkan konsumen ini. BPKN akan segera meminta pertanggungjawaban dan klarifikasi resmi dari pihak manajemen Aqua.
"Kami akan memanggil pihak manajemen dan Direktur PT Tirta Investama untuk meminta klarifikasi resmi terkait sumber air yang digunakan dalam produksi Aqua. BPKN juga akan mengirim tim investigasi langsung ke lokasi pabrik guna memverifikasi kebenaran informasi tersebut," ujar Ketua BPKN RI Mufti Mubarok dalam keterangannya di Jakarta, Kamis (23/10/2025).
Dugaan ini mencuat setelah adanya laporan publik dan hasil inspeksi di salah satu pabrik Aqua yang mengindikasikan penggunaan air tanah. Temuan ini sontak menjadi sorotan, mengingat citra merek Aqua selama puluhan tahun dibangun di atas slogan "Air pegunungan yang murni dan alami," yang secara masif dipromosikan di berbagai media.
Mufti menegaskan, BPKN memiliki kewajiban untuk memastikan hak konsumen atas informasi yang benar, jelas, dan jujur tidak dilanggar, sesuai amanat Undang-Undang Nomor 8 Tahun 1999 tentang Perlindungan Konsumen. Jika klaim dalam iklan tidak sesuai dengan kenyataan di lapangan, hal tersebut dapat dikategorikan sebagai penyesatan informasi.
"Jika klaim di iklan berbeda dengan fakta di lapangan, maka itu termasuk pelanggaran prinsip kejujuran dalam beriklan. Konsumen berhak mengetahui asal bahan baku produk yang mereka konsumsi. BPKN akan menindaklanjuti ini secara transparan dan sesuai dengan ketentuan hukum," katanya sebagaimana dilansir kantor berita Antara.
BPKN RI tidak akan bekerja sendiri. Mufti menambahkan bahwa pihaknya akan menggandeng Badan Pengawas Obat dan Makanan (BPOM) serta Kementerian Perindustrian untuk melakukan pemeriksaan silang, terutama terkait izin sumber air dan pemenuhan standar mutu AMDK.
Meski mengambil langkah tegas, BPKN memastikan bahwa tindakan ini murni bertujuan untuk melindungi kepentingan konsumen dan menjaga kepercayaan publik, bukan untuk merusak reputasi perusahaan.
"Kami mengajak seluruh pelaku usaha untuk berkomitmen menjaga kejujuran dalam promosi dan pelabelan produk. Konsumen Indonesia berhak mendapatkan kebenaran, bukan sekadar citra," kata Mufti.
Sebagai langkah lanjut, BPKN RI mengimbau masyarakat agar lebih cermat dalam memilih air minum kemasan dan membaca label sumber air yang tertera pada kemasan. Jika terdapat dugaan pelanggaran atau ketidaksesuaian klaim produk, konsumen dapat melapor langsung melalui kanal resmi www.bpkn.go.id.</t>
  </si>
  <si>
    <t>636794109715023_1312024074290926</t>
  </si>
  <si>
    <t>https://www.facebook.com/351371880356155/posts/1312024074290926</t>
  </si>
  <si>
    <t>badan perlindungan konsumen nasional bpkn ri mengambil langkah rencana memanggil jajaran direksi pt tirta investama produsen air minum kemasan amdk merek aqua langkah menyusul dugaan serius sumber air aqua berasal sumur bor air tanah mata air pegunungan murni gencar diklaim iklan kabar langsung ketua bpkn ri mufti mubarok tinggal diam isu meresahkan konsumen bpkn pertanggungjawaban klarifikasi resmi manajemen aqua memanggil manajemen direktur pt tirta investama klarifikasi resmi terkait sumber air produksi aqua bpkn mengirim tim investigasi langsung lokasi pabrik memverifikasi kebenaran informasi ketua bpkn ri mufti mubarok keterangannya jakarta kamis dugaan mencuat laporan publik hasil inspeksi salah pabrik aqua mengindikasikan penggunaan air tanah temuan sontak sorotan citra merek aqua puluhan dibangun slogan air pegunungan murni alami masif dipromosikan media mufti bpkn memiliki kewajiban hak konsumen informasi jujur dilanggar sesuai amanat undangundang nomor perlindungan konsumen klaim iklan sesuai kenyataan lapangan dikategorikan penyesatan informasi klaim iklan berbeda fakta lapangan pelanggaran prinsip kejujuran beriklan konsumen berhak bahan baku produk konsumsi bpkn menindaklanjuti transparan sesuai ketentuan hukum dilansir kantor berita bpkn ri mufti menggandeng badan pengawas obat makanan bpom kementerian perindustrian pemeriksaan silang terkait izin sumber air pemenuhan standar mutu amdk mengambil langkah bpkn tindakan murni bertujuan melindungi kepentingan konsumen menjaga kepercayaan publik merusak reputasi perusahaan mengajak pelaku usaha berkomitmen menjaga kejujuran promosi pelabelan produk konsumen indonesia berhak kebenaran citra mufti langkah bpkn ri mengimbau masyarakat cermat memilih air minum kemasan membaca label sumber air tertera kemasan dugaan pelanggaran ketidaksesuaian klaim produk konsumen melapor langsung kanal resmi wwwbpkngoid</t>
  </si>
  <si>
    <t>['badan', 'perlindungan', 'konsumen', 'nasional', 'bpkn', 'ri', 'mengambil', 'langkah', 'rencana', 'memanggil', 'jajaran', 'direksi', 'pt', 'tirta', 'investama', 'produsen', 'air', 'minum', 'kemasan', 'amdk', 'merek', 'aqua', 'langkah', 'menyusul', 'dugaan', 'serius', 'sumber', 'air', 'aqua', 'berasal', 'sumur', 'bor', 'air', 'tanah', 'mata', 'air', 'pegunungan', 'murni', 'gencar', 'diklaim', 'iklan', 'kabar', 'langsung', 'ketua', 'bpkn', 'ri', 'mufti', 'mubarok', 'tinggal', 'diam', 'isu', 'meresahkan', 'konsumen', 'bpkn', 'pertanggungjawaban', 'klarifikasi', 'resmi', 'manajemen', 'aqua', 'memanggil', 'manajemen', 'direktur', 'pt', 'tirta', 'investama', 'klarifikasi', 'resmi', 'terkait', 'sumber', 'air', 'produksi', 'aqua', 'bpkn', 'mengirim', 'tim', 'investigasi', 'langsung', 'lokasi', 'pabrik', 'memverifikasi', 'kebenaran', 'informasi', 'ketua', 'bpkn', 'ri', 'mufti', 'mubarok', 'keterangannya', 'jakarta', 'kamis', 'dugaan', 'mencuat', 'laporan', 'publik', 'hasil', 'inspeksi', 'salah', 'pabrik', 'aqua', 'mengindikasikan', 'penggunaan', 'air', 'tanah', 'temuan', 'sontak', 'sorotan', 'citra', 'merek', 'aqua', 'puluhan', 'dibangun', 'slogan', 'air', 'pegunungan', 'murni', 'alami', 'masif', 'dipromosikan', 'media', 'mufti', 'bpkn', 'memiliki', 'kewajiban', 'hak', 'konsumen', 'informasi', 'jujur', 'dilanggar', 'sesuai', 'amanat', 'undangundang', 'nomor', 'perlindungan', 'konsumen', 'klaim', 'iklan', 'sesuai', 'kenyataan', 'lapangan', 'dikategorikan', 'penyesatan', 'informasi', 'klaim', 'iklan', 'berbeda', 'fakta', 'lapangan', 'pelanggaran', 'prinsip', 'kejujuran', 'beriklan', 'konsumen', 'berhak', 'bahan', 'baku', 'produk', 'konsumsi', 'bpkn', 'menindaklanjuti', 'transparan', 'sesuai', 'ketentuan', 'hukum', 'dilansir', 'kantor', 'berita', 'bpkn', 'ri', 'mufti', 'menggandeng', 'badan', 'pengawas', 'obat', 'makanan', 'bpom', 'kementerian', 'perindustrian', 'pemeriksaan', 'silang', 'terkait', 'izin', 'sumber', 'air', 'pemenuhan', 'standar', 'mutu', 'amdk', 'mengambil', 'langkah', 'bpkn', 'tindakan', 'murni', 'bertujuan', 'melindungi', 'kepentingan', 'konsumen', 'menjaga', 'kepercayaan', 'publik', 'merusak', 'reputasi', 'perusahaan', 'mengajak', 'pelaku', 'usaha', 'berkomitmen', 'menjaga', 'kejujuran', 'promosi', 'pelabelan', 'produk', 'konsumen', 'indonesia', 'berhak', 'kebenaran', 'citra', 'mufti', 'langkah', 'bpkn', 'ri', 'mengimbau', 'masyarakat', 'cermat', 'memilih', 'air', 'minum', 'kemasan', 'membaca', 'label', 'sumber', 'air', 'tertera', 'kemasan', 'dugaan', 'pelanggaran', 'ketidaksesuaian', 'klaim', 'produk', 'konsumen', 'melapor', 'langsung', 'kanal', 'resmi', 'wwwbpkngoid']</t>
  </si>
  <si>
    <t>Seorang pelajar bernama Mersel (17) dilaporkan terseret arus laut saat mandi-mandi di pantai Padang, Minggu (19/10/2025).
Kantor Pencarian dan Pertolongan (KPP) Padang segera mengerahkan tim SAR guna melakukan pencarian dan pertolongan di lokasi kejadian.
Menurut Abdul Malik, Kepala Kantor Pencarian dan Pertolongan (Kakansar) Padang, informasi awal diterima melalui Pusat Pengendalian Operasi Badan Penanggulangan Bencana Daerah (Pusdalops BPBD) Kota Padang pada pukul 18.15 WIB.
Dijelaskannya, lokasi kejadian diperkirakan berada sekitar 16,9 kilometer dari kantor pusat SAR Padang dan sekitar 605 meter dari dermaga RIB 02.
Tim SAR membawa sejumlah alat utama dan perlengkapan SAR (alut dan palsar) yang lengkap, meliputi rescue car, RIB 02, LCR, alat SAR air, peralatan medis, komunikasi, serta perangkat Aqua Eye untuk mempermudah pencarian di bawah air.
Abdul Malik menjelaskan bahwa proses pencarian di lapangan menghadapi kendala signifikan. Saat ini kondisi cuaca kurang bersahabat dengan hujan deras disertai badai dan kecepatan angin mencapai 6 knot.
Kakansar Padang juga menambahkan, bahwa korban merupakan seorang pelajar laki-laki yang tengah menikmati waktu mandi di pantai sebelum terseret ombak.
Hingga saat ini, tim SAR masih terus melakukan pencarian dengan maksimal mengerahkan seluruh sumber daya yang ada.</t>
  </si>
  <si>
    <t>INFOSUMBAR MEDIA KREASI</t>
  </si>
  <si>
    <t>https://www.instagram.com/reel/DP_fIzxj4VJ/</t>
  </si>
  <si>
    <t>pelajar bernama mersel dilaporkan terseret arus laut mandimandi pantai padang minggu kantor pencarian pertolongan kpp padang mengerahkan tim sar pencarian pertolongan lokasi kejadian abdul malik kepala kantor pencarian pertolongan kakansar padang informasi diterima pusat pengendalian operasi badan penanggulangan bencana daerah pusdalops bpbd kota padang wib lokasi kejadian kilometer kantor pusat sar padang meter dermaga rib tim sar membawa alat utama perlengkapan sar alut palsar lengkap meliputi rescue car rib lcr alat sar air peralatan medis komunikasi perangkat aqua eye mempermudah pencarian air abdul malik proses pencarian lapangan menghadapi kendala signifikan kondisi cuaca bersahabat hujan deras disertai badai kecepatan angin mencapai knot kakansar padang korban pelajar lakilaki menikmati mandi pantai terseret ombak tim sar pencarian maksimal mengerahkan sumber daya</t>
  </si>
  <si>
    <t>['pelajar', 'bernama', 'mersel', 'dilaporkan', 'terseret', 'arus', 'laut', 'mandimandi', 'pantai', 'padang', 'minggu', 'kantor', 'pencarian', 'pertolongan', 'kpp', 'padang', 'mengerahkan', 'tim', 'sar', 'pencarian', 'pertolongan', 'lokasi', 'kejadian', 'abdul', 'malik', 'kepala', 'kantor', 'pencarian', 'pertolongan', 'kakansar', 'padang', 'informasi', 'diterima', 'pusat', 'pengendalian', 'operasi', 'badan', 'penanggulangan', 'bencana', 'daerah', 'pusdalops', 'bpbd', 'kota', 'padang', 'wib', 'lokasi', 'kejadian', 'kilometer', 'kantor', 'pusat', 'sar', 'padang', 'meter', 'dermaga', 'rib', 'tim', 'sar', 'membawa', 'alat', 'utama', 'perlengkapan', 'sar', 'alut', 'palsar', 'lengkap', 'meliputi', 'rescue', 'car', 'rib', 'lcr', 'alat', 'sar', 'air', 'peralatan', 'medis', 'komunikasi', 'perangkat', 'aqua', 'eye', 'mempermudah', 'pencarian', 'air', 'abdul', 'malik', 'proses', 'pencarian', 'lapangan', 'menghadapi', 'kendala', 'signifikan', 'kondisi', 'cuaca', 'bersahabat', 'hujan', 'deras', 'disertai', 'badai', 'kecepatan', 'angin', 'mencapai', 'knot', 'kakansar', 'padang', 'korban', 'pelajar', 'lakilaki', 'menikmati', 'mandi', 'pantai', 'terseret', 'ombak', 'tim', 'sar', 'pencarian', 'maksimal', 'mengerahkan', 'sumber', 'daya']</t>
  </si>
  <si>
    <t>Gubernur Jawa Barat Dedi Mulyadi melakukan inspeksi mendadak ke pabrik air minum merek Aqua di Subang, Jawa Barat.
Dalam sidak itu, Dedi menanyakan volume air yang diambil perusahaan setiap hari.
â€œSekitar 2.850.000 liter,â€ kata perwakilan perusahaan, dikutip Rabu, 22 Oktober 2025.
Dedi mengaku terkejut karena sumber air ternyata berasal dari dua sumur bor dalam, bukan dari mata air pegunungan seperti yang di branding dalam iklan.
â€œAir gunung enggak ambil bawah tanah, apa enggak geser tanahnya? Ini harus diperhitungkan,â€ ujar Dedi.
Ia pun meminta agar izin operasional dan pengambilan air tanah perusahaan ditinjau ulang untuk mencegah kerusakan lingkungan.
Bagaimana menurut kamu?
Creative Video: Abdul Rouf Ade Segun
#Rmol #republikmedeka #republikmedekaonline</t>
  </si>
  <si>
    <t>Republik Merdeka Online</t>
  </si>
  <si>
    <t>https://www.instagram.com/reel/DQHgnwHCZel/</t>
  </si>
  <si>
    <t>gubernur jawa barat dedi mulyadi inspeksi mendadak pabrik air minum merek aqua subang jawa barat sidak dedi volume air diambil perusahaan liter perwakilan perusahaan dikutip rabu oktober dedi mengaku terkejut sumber air berasal sumur bor mata air pegunungan branding iklan air gunung ambil tanah geser tanahnya diperhitungkan dedi izin operasional pengambilan air tanah perusahaan ditinjau ulang mencegah kerusakan lingkungan creative video abdul rouf ade segun</t>
  </si>
  <si>
    <t>['rmol', 'republikmedeka', 'republikmedekaonline']</t>
  </si>
  <si>
    <t>['gubernur', 'jawa', 'barat', 'dedi', 'mulyadi', 'inspeksi', 'mendadak', 'pabrik', 'air', 'minum', 'merek', 'aqua', 'subang', 'jawa', 'barat', 'sidak', 'dedi', 'volume', 'air', 'diambil', 'perusahaan', 'liter', 'perwakilan', 'perusahaan', 'dikutip', 'rabu', 'oktober', 'dedi', 'mengaku', 'terkejut', 'sumber', 'air', 'berasal', 'sumur', 'bor', 'mata', 'air', 'pegunungan', 'branding', 'iklan', 'air', 'gunung', 'ambil', 'tanah', 'geser', 'tanahnya', 'diperhitungkan', 'dedi', 'izin', 'operasional', 'pengambilan', 'air', 'tanah', 'perusahaan', 'ditinjau', 'ulang', 'mencegah', 'kerusakan', 'lingkungan', 'creative', 'video', 'abdul', 'rouf', 'ade', 'segun']</t>
  </si>
  <si>
    <t>vibing dengan aqua indigo hari ini ??
#majika #aquaindigo #scent</t>
  </si>
  <si>
    <t>Afan Aan</t>
  </si>
  <si>
    <t>https://www.instagram.com/reel/DPss8vGk0QM/</t>
  </si>
  <si>
    <t>vibing aqua indigo</t>
  </si>
  <si>
    <t>['majika', 'aquaindigo', 'scent']</t>
  </si>
  <si>
    <t>['vibing', 'aqua', 'indigo']</t>
  </si>
  <si>
    <t>Heboh air mineral merk Aqua yang selama ini diklaim bersumber dari air pegunungan, ternyata berasal dari air dalam tanah yang dibor. Hal ini diketahui setelah Gubernur Jawa Barat (Jabar), Kang Dedi Mulyadi ( KDM) sidak ke pabrik Aqua di kawasan Subang belum lama ini.
Warganet pun menjadi ramai dan merasa selama ini kena prank atas kenyataan tersebut. Terutama selama ini Aqua dalam iklannya mengklaim kalau air yang mereka kemas bersumber dari mata air pegunungan.
Terbongkarnya sumber air Aqua tersebut terungkap dalam video di akun Tiktok kang dedi mulyadi, saat orang nomor satu di Jawa Barat tersebut sidak mendatangi langsung pabrik Aqua. KDM tampak disambut dua orang yang diduga pimpinan dipabrik tersebut.
Saat KDM menanyakan sumber air yang dikemas Aqua, salah satunya yakni perempuan berkerudung menyebut mereka selama ini mengambilnya dari dalam tanah dengan cara dibor. Sontak hal ini pun ramai menjadi sorotan netizen.
Dalam obrolan tersebut, KDM juga menanyakan perihal kendaraan truk yang digunakan untuk mengangkut hasil produksi kemasan. Karena selama ini KDM mendapat laporan jika truk-truk tersebut menyalahi aturan akibat terlalu besar.
"Kendaraan yang digunakan mestinya yang sesuai dengan kekuatan tonase jalan. Jangan malah dilewati truk Aqua yang truk besar atau tiga sumbu. Itu meeusak jalan. Belum lagi menjadi rawan kecelakaan, seperti terjadi menimpa warga beberapa waktu lalu," ujar KDM.
??: kdm.4ri 
??: pikiranrakyat</t>
  </si>
  <si>
    <t>DEPOKFeed</t>
  </si>
  <si>
    <t>https://www.instagram.com/reel/DQHLmtVD1bg/</t>
  </si>
  <si>
    <t>heboh air mineral merk aqua diklaim bersumber air pegunungan berasal air tanah dibor gubernur jawa barat jabar kang dedi mulyadi kdm sidak pabrik aqua kawasan subang warganet ramai kena prank kenyataan aqua iklannya mengklaim air kemas bersumber mata air pegunungan terbongkarnya sumber air aqua terungkap video akun tiktok kang dedi mulyadi orang nomor jawa barat sidak langsung pabrik aqua kdm disambut orang diduga pimpinan dipabrik kdm sumber air dikemas aqua salah satunya perempuan berkerudung menyebut mengambilnya tanah dibor sontak ramai sorotan netizen obrolan kdm perihal kendaraan truk mengangkut hasil produksi kemasan kdm laporan truktruk menyalahi aturan akibat kendaraan mestinya sesuai kekuatan tonase jalan dilewati truk aqua truk sumbu meeusak jalan rawan kecelakaan menimpa warga kdm kdmri pikiranrakyat</t>
  </si>
  <si>
    <t>['heboh', 'air', 'mineral', 'merk', 'aqua', 'diklaim', 'bersumber', 'air', 'pegunungan', 'berasal', 'air', 'tanah', 'dibor', 'gubernur', 'jawa', 'barat', 'jabar', 'kang', 'dedi', 'mulyadi', 'kdm', 'sidak', 'pabrik', 'aqua', 'kawasan', 'subang', 'warganet', 'ramai', 'kena', 'prank', 'kenyataan', 'aqua', 'iklannya', 'mengklaim', 'air', 'kemas', 'bersumber', 'mata', 'air', 'pegunungan', 'terbongkarnya', 'sumber', 'air', 'aqua', 'terungkap', 'video', 'akun', 'tiktok', 'kang', 'dedi', 'mulyadi', 'orang', 'nomor', 'jawa', 'barat', 'sidak', 'langsung', 'pabrik', 'aqua', 'kdm', 'disambut', 'orang', 'diduga', 'pimpinan', 'dipabrik', 'kdm', 'sumber', 'air', 'dikemas', 'aqua', 'salah', 'satunya', 'perempuan', 'berkerudung', 'menyebut', 'mengambilnya', 'tanah', 'dibor', 'sontak', 'ramai', 'sorotan', 'netizen', 'obrolan', 'kdm', 'perihal', 'kendaraan', 'truk', 'mengangkut', 'hasil', 'produksi', 'kemasan', 'kdm', 'laporan', 'truktruk', 'menyalahi', 'aturan', 'akibat', 'kendaraan', 'mestinya', 'sesuai', 'kekuatan', 'tonase', 'jalan', 'dilewati', 'truk', 'aqua', 'truk', 'sumbu', 'meeusak', 'jalan', 'rawan', 'kecelakaan', 'menimpa', 'warga', 'kdm', 'kdmri', 'pikiranrakyat']</t>
  </si>
  <si>
    <t>Dedi Mulyadi Sidak Pabrik Aqua Subang
______
?? t/jhohanz/kdm
#exploresubang</t>
  </si>
  <si>
    <t>EXPLORE SUBANG | West Java ??????</t>
  </si>
  <si>
    <t>https://www.instagram.com/reel/DQDLYXZkmwT/</t>
  </si>
  <si>
    <t>dedi mulyadi sidak pabrik aqua subang tjhohanzkdm</t>
  </si>
  <si>
    <t>['exploresubang']</t>
  </si>
  <si>
    <t>['dedi', 'mulyadi', 'sidak', 'pabrik', 'aqua', 'subang', 'tjhohanzkdm']</t>
  </si>
  <si>
    <t>Gubernur Jawa Barat, Dedi Mulyadi, melakukan sidak ke sebuah pabrik air mineral di kawasan pegunungan Subang. Dalam kunjungannya, Dedi menyoroti potensi bencana lingkungan yang ditimbulkan akibat aktivitas industri di wilayah tersebut. Ia menilai bahwa pengambilan air tanah dalam jumlah besar serta penebangan pohon di sekitar pabrik dapat memperparah kerusakan lingkungan dan memicu bencana.
Salah satu dampak yang paling sering terjadi akibat aktivitas tersebut adalah banjir dan longsor. Saat meninjau area di belakang pabrik, Dedi menanyakan penyebab longsor yang terjadi di kawasan itu.
â€œKenapa longsor?â€ tanya Dedi.
â€œKarena di atasnya itu ada sawah, Pak,â€ jawab perwakilan perusahaan.
Namun, Dedi menegaskan bahwa penyebab kerusakan tidak semata karena keberadaan sawah. Ia menilai, aktivitas industri seperti eksploitasi air tanah dan penebangan pohon turut memperburuk kondisi lingkungan di kawasan tersebut.
Video : YT/ Kang Dedi Mulyadi Channel
#infokrw #karawang #aqua #kdm #dedimulyadj</t>
  </si>
  <si>
    <t>KARAWANG</t>
  </si>
  <si>
    <t>https://www.instagram.com/p/DQHY0khEqhH/</t>
  </si>
  <si>
    <t>gubernur jawa barat dedi mulyadi sidak pabrik air mineral kawasan pegunungan subang kunjungannya dedi menyoroti potensi bencana lingkungan ditimbulkan akibat aktivitas industri wilayah menilai pengambilan air tanah penebangan pohon pabrik memperparah kerusakan lingkungan memicu bencana salah dampak akibat aktivitas banjir longsor meninjau area pabrik dedi penyebab longsor kawasan longsor dedi atasnya sawah perwakilan perusahaan dedi penyebab kerusakan keberadaan sawah menilai aktivitas industri eksploitasi air tanah penebangan pohon memperburuk kondisi lingkungan kawasan video yt kang dedi mulyadi channel</t>
  </si>
  <si>
    <t>['infokrw', 'karawang', 'aqua', 'kdm', 'dedimulyadj']</t>
  </si>
  <si>
    <t>['gubernur', 'jawa', 'barat', 'dedi', 'mulyadi', 'sidak', 'pabrik', 'air', 'mineral', 'kawasan', 'pegunungan', 'subang', 'kunjungannya', 'dedi', 'menyoroti', 'potensi', 'bencana', 'lingkungan', 'ditimbulkan', 'akibat', 'aktivitas', 'industri', 'wilayah', 'menilai', 'pengambilan', 'air', 'tanah', 'penebangan', 'pohon', 'pabrik', 'memperparah', 'kerusakan', 'lingkungan', 'memicu', 'bencana', 'salah', 'dampak', 'akibat', 'aktivitas', 'banjir', 'longsor', 'meninjau', 'area', 'pabrik', 'dedi', 'penyebab', 'longsor', 'kawasan', 'longsor', 'dedi', 'atasnya', 'sawah', 'perwakilan', 'perusahaan', 'dedi', 'penyebab', 'kerusakan', 'keberadaan', 'sawah', 'menilai', 'aktivitas', 'industri', 'eksploitasi', 'air', 'tanah', 'penebangan', 'pohon', 'memperburuk', 'kondisi', 'lingkungan', 'kawasan', 'video', 'yt', 'kang', 'dedi', 'mulyadi', 'channel']</t>
  </si>
  <si>
    <t>KDM Bongkar Fakta di Balik Air Kemasan: Bukan dari Mata Air, tapi dari Sumur Bor. 
Sidak Gubernur Jawa Barat Dedi Mulyadi (KDM) pada Selasa 21 Oktober 2025 mengungkap temuan mengejutkan.
Air minum dalam kemasan (AMDK) dari salah satu merek besar ternyata bukan berasal dari mata air alami, melainkan air tanah dalam hasil pengeboran artesis hingga 100 meter lebih di bawah permukaan bumi.
Masyarakat di sekitar pabrik, dari Jawa Barat hingga Jawa Timur, mulai merasakan dampaknya:
sumur menipis, sawah mengering, dan musim kemarau jadi makin panjang.
??ï¸ â€œAir tanah adalah warisan kehidupan. Ia diam, tapi ketika habis, bumi akan retak,â€ tegas KDM.
Sidak ini bukan sekadar soal izin â€” tapi soal hak publik atas air, sumber hidup yang seharusnya dijaga bersama.
-
-
naskah: inilah.com
#bogorterkini #KDM #DediMulyadi #AirTanah #AQUA #Danone #JawaBarat #Lingkungan</t>
  </si>
  <si>
    <t>BOGOR TERKINI</t>
  </si>
  <si>
    <t>https://www.instagram.com/reel/DQHOwdQE5ld/</t>
  </si>
  <si>
    <t>kdm bongkar fakta air kemasan mata air sumur bor sidak gubernur jawa barat dedi mulyadi kdm selasa oktober mengungkap temuan mengejutkan air minum kemasan amdk salah merek berasal mata air alami air tanah hasil pengeboran artesis meter permukaan bumi masyarakat pabrik jawa barat jawa timur merasakan dampaknya sumur menipis sawah mengering musim kemarau air tanah warisan kehidupan diam habis bumi retak kdm sidak izin hak publik air sumber hidup dijaga naskah inilahcom</t>
  </si>
  <si>
    <t>['bogorterkini', 'kdm', 'dedimulyadi', 'airtanah', 'aqua', 'danone', 'jawabarat', 'lingkungan']</t>
  </si>
  <si>
    <t>['kdm', 'bongkar', 'fakta', 'air', 'kemasan', 'mata', 'air', 'sumur', 'bor', 'sidak', 'gubernur', 'jawa', 'barat', 'dedi', 'mulyadi', 'kdm', 'selasa', 'oktober', 'mengungkap', 'temuan', 'mengejutkan', 'air', 'minum', 'kemasan', 'amdk', 'salah', 'merek', 'berasal', 'mata', 'air', 'alami', 'air', 'tanah', 'hasil', 'pengeboran', 'artesis', 'meter', 'permukaan', 'bumi', 'masyarakat', 'pabrik', 'jawa', 'barat', 'jawa', 'timur', 'merasakan', 'dampaknya', 'sumur', 'menipis', 'sawah', 'mengering', 'musim', 'kemarau', 'air', 'tanah', 'warisan', 'kehidupan', 'diam', 'habis', 'bumi', 'retak', 'kdm', 'sidak', 'izin', 'hak', 'publik', 'air', 'sumber', 'hidup', 'dijaga', 'naskah', 'inilahcom']</t>
  </si>
  <si>
    <t>Kalau kalian hobi skip water station, coba tonton video ini!
.
Rehidrasi itu penting, kalo aku yo pasti sehataqua sejuk, murni, menyegarkan. Jooosss AQUA !!!</t>
  </si>
  <si>
    <t>Cipeng | TIRTA</t>
  </si>
  <si>
    <t>https://www.instagram.com/reel/DQOkY6tgWlP/</t>
  </si>
  <si>
    <t>hobi skip water station coba tonton video rehidrasi kalo yo sehataqua sejuk murni menyegarkan jooosss aqua</t>
  </si>
  <si>
    <t>['hobi', 'skip', 'water', 'station', 'coba', 'tonton', 'video', 'rehidrasi', 'kalo', 'yo', 'sehataqua', 'sejuk', 'murni', 'menyegarkan', 'jooosss', 'aqua']</t>
  </si>
  <si>
    <t>AQUA berasal dari sumber air pegunungan terpilih dan terlindungi.
Perlu diketahui tidak semua air itu air AQUA, karena AQUA berasal dari air tanah dalam (akuifer dalam), yaitu lapisan batuan yang yang sangat kedap dan terlindungi dari cemaran. Lapisan ini pula yang menjadikan air AQUA mengandung mineral alami.
Bagaimana Sahabat, semoga informasi ini bisa menjadi referensi mengapa tidak semua air itu AQUA âœ¨??</t>
  </si>
  <si>
    <t>Sehat AQUA</t>
  </si>
  <si>
    <t>https://www.instagram.com/reel/DQJDDMqkk6J/</t>
  </si>
  <si>
    <t>aqua berasal sumber air pegunungan terpilih terlindungi air air aqua aqua berasal air tanah akuifer lapisan batuan kedap terlindungi cemaran lapisan menjadikan air aqua mengandung mineral alami sahabat semoga informasi referensi air aqua</t>
  </si>
  <si>
    <t>['aqua', 'berasal', 'sumber', 'air', 'pegunungan', 'terpilih', 'terlindungi', 'air', 'air', 'aqua', 'aqua', 'berasal', 'air', 'tanah', 'akuifer', 'lapisan', 'batuan', 'kedap', 'terlindungi', 'cemaran', 'lapisan', 'menjadikan', 'air', 'aqua', 'mengandung', 'mineral', 'alami', 'sahabat', 'semoga', 'informasi', 'referensi', 'air', 'aqua']</t>
  </si>
  <si>
    <t>Gubernur Jawa Barat, Dedi Mulyadi, melakukan kunjungan ke pabrik Aqua di Kabupaten Subang pada Senin (20/10/2025). Dalam sidaknya tersebut, Dedi menemukan sejumlah praktik yang dinilai merugikan masyarakat maupun para pekerja lapangan.
Salah satu temuan mencolok adalah dugaan pelanggaran muatan truk pengangkut galon Aqua yang melebihi kapasitas. Dari hasil pengecekan, truk yang seharusnya hanya mengangkut 5 ton air galon, justru kedapatan membawa hingga 13 ton.
â€œbeban muatan dibikin 3 kali lipat tapi upah sopirnya hanya Rp125 ribu,â€ ungkap Dedi Mulyadi saat meninjau langsung aktivitas bongkar muat di area pabrik.
Menurutnya, praktik ini bukan hanya melanggar aturan keselamatan, tetapi juga berpotensi menyebabkan kerusakan infrastruktur, terutama jalan dan jembatan di wilayah Subang.
â€œPemerintah Provinsi Jawa Barat sedang giat membangun dan memperbaiki jalan. Tapi kalau truk-truk besar terus membawa muatan berlebih seperti ini, ya percuma. Jalan yang baru diperbaiki bisa rusak lagi,â€ tegas Dedi.
Ia juga menyoroti nasib para sopir truk yang disebutnya kerap dijadikan kambing hitam ketika terjadi kecelakaan akibat beban berlebih, padahal mereka hanya menjalankan perintah perusahaan.
â€œMereka disuruh angkut lebih dari kapasitas, tapi kalau truk terguling atau jalan rusak, sopirnya yang disalahkan. Ini jelas tidak adil,â€ tambahnya.
Dedi meminta pihak perusahaan untuk meninjau ulang sistem kerja dan pemberian upah bagi sopir agar sesuai dengan beban kerja yang dijalankan. Ia juga mengingatkan agar perusahaan besar seperti Aqua turut bertanggung jawab terhadap dampak sosial dan lingkungan dari operasionalnya.*and</t>
  </si>
  <si>
    <t>https://www.instagram.com/reel/DQItz1olQj9/</t>
  </si>
  <si>
    <t>gubernur jawa barat dedi mulyadi kunjungan pabrik aqua kabupaten subang senin sidaknya dedi menemukan praktik dinilai merugikan masyarakat pekerja lapangan salah temuan mencolok dugaan pelanggaran muatan truk pengangkut galon aqua melebihi kapasitas hasil pengecekan truk mengangkut ton air galon kedapatan membawa ton beban muatan dibikin kali lipat upah sopirnya rp ribu dedi mulyadi meninjau langsung aktivitas bongkar muat area pabrik menurutnya praktik melanggar aturan keselamatan berpotensi menyebabkan kerusakan infrastruktur jalan jembatan wilayah subang pemerintah provinsi jawa barat giat membangun memperbaiki jalan truktruk membawa muatan berlebih ya jalan diperbaiki rusak dedi menyoroti nasib sopir truk disebutnya kerap dijadikan kambing hitam kecelakaan akibat beban berlebih menjalankan perintah perusahaan disuruh angkut kapasitas truk terguling jalan rusak sopirnya disalahkan adil dedi perusahaan meninjau ulang sistem kerja pemberian upah sopir sesuai beban kerja dijalankan perusahaan aqua bertanggung dampak sosial lingkungan operasionalnyaand</t>
  </si>
  <si>
    <t>['gubernur', 'jawa', 'barat', 'dedi', 'mulyadi', 'kunjungan', 'pabrik', 'aqua', 'kabupaten', 'subang', 'senin', 'sidaknya', 'dedi', 'menemukan', 'praktik', 'dinilai', 'merugikan', 'masyarakat', 'pekerja', 'lapangan', 'salah', 'temuan', 'mencolok', 'dugaan', 'pelanggaran', 'muatan', 'truk', 'pengangkut', 'galon', 'aqua', 'melebihi', 'kapasitas', 'hasil', 'pengecekan', 'truk', 'mengangkut', 'ton', 'air', 'galon', 'kedapatan', 'membawa', 'ton', 'beban', 'muatan', 'dibikin', 'kali', 'lipat', 'upah', 'sopirnya', 'rp', 'ribu', 'dedi', 'mulyadi', 'meninjau', 'langsung', 'aktivitas', 'bongkar', 'muat', 'area', 'pabrik', 'menurutnya', 'praktik', 'melanggar', 'aturan', 'keselamatan', 'berpotensi', 'menyebabkan', 'kerusakan', 'infrastruktur', 'jalan', 'jembatan', 'wilayah', 'subang', 'pemerintah', 'provinsi', 'jawa', 'barat', 'giat', 'membangun', 'memperbaiki', 'jalan', 'truktruk', 'membawa', 'muatan', 'berlebih', 'ya', 'jalan', 'diperbaiki', 'rusak', 'dedi', 'menyoroti', 'nasib', 'sopir', 'truk', 'disebutnya', 'kerap', 'dijadikan', 'kambing', 'hitam', 'kecelakaan', 'akibat', 'beban', 'berlebih', 'menjalankan', 'perintah', 'perusahaan', 'disuruh', 'angkut', 'kapasitas', 'truk', 'terguling', 'jalan', 'rusak', 'sopirnya', 'disalahkan', 'adil', 'dedi', 'perusahaan', 'meninjau', 'ulang', 'sistem', 'kerja', 'pemberian', 'upah', 'sopir', 'sesuai', 'beban', 'kerja', 'dijalankan', 'perusahaan', 'aqua', 'bertanggung', 'dampak', 'sosial', 'lingkungan', 'operasionalnyaand']</t>
  </si>
  <si>
    <t>Terima kasih Kang Dedi Mulyadi (KDM) yang makin membuka tabir kecurangan brand ini. Kami berdoa, semoga banyak brand air mineral lokal dari Jawa Barat yang naik ke permukaan dan segera gantikan brand air mineral terafiliasi.
Yuk bantu KDM listing nama-nama brand air mineral lokal di Jawa Barat.
#KDM #Sidak #Aqua #Buycut</t>
  </si>
  <si>
    <t>Habib AMA</t>
  </si>
  <si>
    <t>https://www.instagram.com/reel/DQHU8ZiicDU/</t>
  </si>
  <si>
    <t>terima kasih kang dedi mulyadi kdm membuka tabir kecurangan brand berdoa semoga brand air mineral lokal jawa barat permukaan gantikan brand air mineral terafiliasi yuk bantu kdm listing namanama brand air mineral lokal jawa barat</t>
  </si>
  <si>
    <t>['kdm', 'sidak', 'aqua', 'buycut']</t>
  </si>
  <si>
    <t>['terima', 'kasih', 'kang', 'dedi', 'mulyadi', 'kdm', 'membuka', 'tabir', 'kecurangan', 'brand', 'berdoa', 'semoga', 'brand', 'air', 'mineral', 'lokal', 'jawa', 'barat', 'permukaan', 'gantikan', 'brand', 'air', 'mineral', 'terafiliasi', 'yuk', 'bantu', 'kdm', 'listing', 'namanama', 'brand', 'air', 'mineral', 'lokal', 'jawa', 'barat']</t>
  </si>
  <si>
    <t>Kecelakaan maut terjadi Jalan Raya Bandung - Subang tepatnya daerah Desa Gunungtua, Kecamatan Cijambe, Kabupaten Subang, Jawa Barat,Â Kamis (09/10/2025).
Kecelakaan ini melibatkan truk pengangkut AQUA dengan sejumlah kendaraan, baik roda dua maupun roda empat. Truk tersebut menabrak kendaraan yang ada di depannya.
Kecelakaan menimbulkan korban jiwa dan luka-luka langsung viral di media sosial (medsos) yang diunggah warganet yang berada di sekitar lokasi kejadian.
Detik-detik kecelakaan pun terekam pada CCTV (Closed-Circuit Television) yang berada di sekitar lokasi. Masyarakat pun berjibaku melakukan evakuasi korban ke rumah sakit.
Dari informasi didapat hingga pukul 15.00Â wib, korban wafat pada kecelakaan tersebut sebanyak tiga orang dan tujuh orang alami luka-luka. Mereka berada di RSUD Subang.
Korban wafat yakni N (60 tahun) dan M (60), warga Cijuhung, Desa Rawalele, Kecamatan Dawuan, dan I (70), warga Wera, Kelurahan Dangdeur, Kecamatan/Kabupaten Subang.
Korban luka-luka yakni PK (6), E (54) dan N (41), warga Cijuhung; O (54), warga Wangunreja; ER (55) warga Wera; serta AK (22) dan I (55), warga Pamanukan, Kabupaten Subang.
Kejadian tersebut saat ini ditangani Unit Gakkum Satlantas Polres Subang untuk proses penyelidikan atas penyebab kecelakaan maut tersebut.
________
#exploresubang</t>
  </si>
  <si>
    <t>https://www.instagram.com/reel/DPlc3fTklKq/</t>
  </si>
  <si>
    <t>kecelakaan maut jalan raya bandung subang tepatnya daerah desa gunungtua kecamatan cijambe kabupaten subang jawa barat kamis kecelakaan melibatkan truk pengangkut aqua kendaraan roda roda truk menabrak kendaraan depannya kecelakaan menimbulkan korban jiwa lukaluka langsung viral media sosial medsos diunggah warganet lokasi kejadian detikdetik kecelakaan terekam cctv closedcircuit television lokasi masyarakat berjibaku evakuasi korban rumah sakit informasi wib korban wafat kecelakaan orang tujuh orang alami lukaluka rsud subang korban wafat n m warga cijuhung desa rawalele kecamatan dawuan i warga wera kelurahan dangdeur kecamatankabupaten subang korban lukaluka pk e n warga cijuhung o warga wangunreja er warga wera ak i warga pamanukan kabupaten subang kejadian ditangani unit gakkum satlantas polres subang proses penyelidikan penyebab kecelakaan maut</t>
  </si>
  <si>
    <t>['kecelakaan', 'maut', 'jalan', 'raya', 'bandung', 'subang', 'tepatnya', 'daerah', 'desa', 'gunungtua', 'kecamatan', 'cijambe', 'kabupaten', 'subang', 'jawa', 'barat', 'kamis', 'kecelakaan', 'melibatkan', 'truk', 'pengangkut', 'aqua', 'kendaraan', 'roda', 'roda', 'truk', 'menabrak', 'kendaraan', 'depannya', 'kecelakaan', 'menimbulkan', 'korban', 'jiwa', 'lukaluka', 'langsung', 'viral', 'media', 'sosial', 'medsos', 'diunggah', 'warganet', 'lokasi', 'kejadian', 'detikdetik', 'kecelakaan', 'terekam', 'cctv', 'closedcircuit', 'television', 'lokasi', 'masyarakat', 'berjibaku', 'evakuasi', 'korban', 'rumah', 'sakit', 'informasi', 'wib', 'korban', 'wafat', 'kecelakaan', 'orang', 'tujuh', 'orang', 'alami', 'lukaluka', 'rsud', 'subang', 'korban', 'wafat', 'n', 'm', 'warga', 'cijuhung', 'desa', 'rawalele', 'kecamatan', 'dawuan', 'i', 'warga', 'wera', 'kelurahan', 'dangdeur', 'kecamatankabupaten', 'subang', 'korban', 'lukaluka', 'pk', 'e', 'n', 'warga', 'cijuhung', 'o', 'warga', 'wangunreja', 'er', 'warga', 'wera', 'ak', 'i', 'warga', 'pamanukan', 'kabupaten', 'subang', 'kejadian', 'ditangani', 'unit', 'gakkum', 'satlantas', 'polres', 'subang', 'proses', 'penyelidikan', 'penyebab', 'kecelakaan', 'maut']</t>
  </si>
  <si>
    <t>Gubernur Jawa Barat Dedi Mulyadi terkejut saat tahun air AQUA yang diproduksi di Subang ternyata berasal dari sumur bor. AQUA segera menjelaskan bahwa air tersebut bukan dari sumur bor biasa, melainkan berasal dari akuifer dalam yang merupakan bagian dari sistem hidrogeologi pegunungan.
#FlashTirto</t>
  </si>
  <si>
    <t>tirto.id</t>
  </si>
  <si>
    <t>https://www.instagram.com/p/DQLQPUvD-Je/</t>
  </si>
  <si>
    <t>gubernur jawa barat dedi mulyadi terkejut air aqua diproduksi subang berasal sumur bor aqua air sumur bor berasal akuifer sistem hidrogeologi pegunungan</t>
  </si>
  <si>
    <t>['flashtirto']</t>
  </si>
  <si>
    <t>['gubernur', 'jawa', 'barat', 'dedi', 'mulyadi', 'terkejut', 'air', 'aqua', 'diproduksi', 'subang', 'berasal', 'sumur', 'bor', 'aqua', 'air', 'sumur', 'bor', 'berasal', 'akuifer', 'sistem', 'hidrogeologi', 'pegunungan']</t>
  </si>
  <si>
    <t>KDM Bongkar Fakta di Balik Air Kemasan: Bukan dari Mata Air, tapi dari Sumur Bor â¬…ï¸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Danoneâ€“AQUA menyedot 15.737,79 megaliter air tanah sepanjang 2023 â€” setara 43 ribu meter kubik per hari.
Padahal, penurunan muka air tanah di beberapa wilayah sudah mencapai 1â€“3 meter per tahun, dan bahkan permukaan tanah turun hingga 23 sentimeter di sekitar kawasan industri air minum.
Masyarakat di sekitar pabrik, dari Jawa Barat hingga Jawa Timur, mulai merasakan dampaknya:
sumur menipis, sawah mengering, dan musim kemarau jadi makin panjang.
??ï¸ â€œAir tanah adalah warisan kehidupan. Ia diam, tapi ketika habis, bumi akan retak,â€ tegas KDM.
Sidak ini bukan sekadar soal izin â€” tapi soal hak publik atas air, sumber hidup yang seharusnya dijaga bersama.
??: YT/KangDediMulyadiChannel
?? : inilah_com</t>
  </si>
  <si>
    <t>Cerita Medan</t>
  </si>
  <si>
    <t>https://www.instagram.com/reel/DQHUli4idkJ/</t>
  </si>
  <si>
    <t>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ytkangdedimulyadichannel inilahcom</t>
  </si>
  <si>
    <t>['kdm',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'ytkangdedimulyadichannel', 'inilahcom']</t>
  </si>
  <si>
    <t>Pernyataan tegas itu disampaikan Dedi dalam video inspeksi mendadak (sidak) yang diunggah di kanal YouTube Kang Dedi Mulyadi Channel, Rabu malam (22/10/2025) pukul 21.00 WIB. Sidak dilakukan di pabrik milik PT Tirta Investama yang berlokasi di Kabupaten Subang.
_
Menurut Dedi, keberadaan truk ODOL tidak hanya merusak jalan, tetapi juga membahayakan keselamatan warga dan memperparah kerusakan infrastruktur yang dibiayai dari uang rakyat.
_
Ia menegaskan, izin pengambilan air tanah akan menjadi alat pengendali hukum bagi perusahaan yang melanggar aturan. Ia meminta Aqua segera berbenah dan mengganti armada dengan truk yang sesuai spesifikasi resmi.
_
Langkah Gubernur Dedi Mulyadi ini dinilai sebagai bentuk komitmen menjaga lingkungan, keselamatan, dan kesejahteraan rakyat. 
_
Ia mengingatkan seluruh pelaku industri di Jawa Barat untuk tidak hanya mengejar keuntungan, tetapi juga bertanggung jawab terhadap dampak sosial dan infrastruktur.</t>
  </si>
  <si>
    <t>KRITIS, INFORMATIF, EDUKATIF</t>
  </si>
  <si>
    <t>https://www.instagram.com/reel/DQTlccDErJU/</t>
  </si>
  <si>
    <t>pernyataan dedi video inspeksi mendadak sidak diunggah kanal youtube kang dedi mulyadi channel rabu malam wib sidak pabrik milik pt tirta investama berlokasi kabupaten subang dedi keberadaan truk odol merusak jalan membahayakan keselamatan warga memperparah kerusakan infrastruktur dibiayai uang rakyat izin pengambilan air tanah alat pengendali hukum perusahaan melanggar aturan aqua berbenah mengganti armada truk sesuai spesifikasi resmi langkah gubernur dedi mulyadi dinilai bentuk komitmen menjaga lingkungan keselamatan kesejahteraan rakyat pelaku industri jawa barat mengejar keuntungan bertanggung dampak sosial infrastruktur</t>
  </si>
  <si>
    <t>['pernyataan', 'dedi', 'video', 'inspeksi', 'mendadak', 'sidak', 'diunggah', 'kanal', 'youtube', 'kang', 'dedi', 'mulyadi', 'channel', 'rabu', 'malam', 'wib', 'sidak', 'pabrik', 'milik', 'pt', 'tirta', 'investama', 'berlokasi', 'kabupaten', 'subang', 'dedi', 'keberadaan', 'truk', 'odol', 'merusak', 'jalan', 'membahayakan', 'keselamatan', 'warga', 'memperparah', 'kerusakan', 'infrastruktur', 'dibiayai', 'uang', 'rakyat', 'izin', 'pengambilan', 'air', 'tanah', 'alat', 'pengendali', 'hukum', 'perusahaan', 'melanggar', 'aturan', 'aqua', 'berbenah', 'mengganti', 'armada', 'truk', 'sesuai', 'spesifikasi', 'resmi', 'langkah', 'gubernur', 'dedi', 'mulyadi', 'dinilai', 'bentuk', 'komitmen', 'menjaga', 'lingkungan', 'keselamatan', 'kesejahteraan', 'rakyat', 'pelaku', 'industri', 'jawa', 'barat', 'mengejar', 'keuntungan', 'bertanggung', 'dampak', 'sosial', 'infrastruktur']</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</si>
  <si>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â€œPantesan mobilnya udah 15 tahun. Mobil tua, tiap hari nanjak, bawa beban berat. Lolos rem, ya pasti,â€ kata KDM.
Yang bikin miris, sopir-sopir tua masih disuruh angkut 13 ton galon cuma dibayar Rp125 ribu/hari.
KDM pun menegur keras pihak perusahaan:
â€œMalu dong, perusahaan besar kerja sama dengan angkutan murah tapi berisiko tinggi.â€
?? KDM juga minta semua transporter Aqua diganti agar sesuai standar keselamatan â€” biar nggak ada lagi nyawa melayang karena kelalaian.</t>
  </si>
  <si>
    <t>RumahPengusaha.News</t>
  </si>
  <si>
    <t>https://www.instagram.com/reel/DQJYoU8jgv_/</t>
  </si>
  <si>
    <t>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t>
  </si>
  <si>
    <t>['duh',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t>
  </si>
  <si>
    <t>Fakta baru terungkap di balik tragedi ledakan kapal Federal II di galangan PT ASL Shipyard, Batam, yang menewaskan 13 pekerja. Dugaan kuat, tangki kapal belum menjalani tank cleaning sebelum pengelasan dilakukan. â€œItu masih kerak minyak, belum dibersihkan. Tapi bukannya disuruh stop kerja, malah disuruh standby air di botol Aqua,â€ ungkap salah satu pekerja tim Rotary.
Diduga, pekerjaan hot work tetap dilakukan di area berisiko hingga memicu ledakan hebat pada Rabu (15/10/2025)pagi. Kasat Reskrim Polresta Barelang Kompol Debby Tri Andrestian menyebut pihaknya masih mendalami dugaan kelalaian. â€œKami kumpulkan semua informasi, termasuk kemungkinan belum dilakukan tank cleaning,â€ ujarnya. Kapolda Kepri Irjen Pol Asep Safrudin menegaskan, â€œJika terbukti ada kelalaian yang menyebabkan korban jiwa, akan kami proses sesuai hukum.â€
#batamnews #batam</t>
  </si>
  <si>
    <t>Batamnews</t>
  </si>
  <si>
    <t>https://www.instagram.com/reel/DQBeP-6gVaG/</t>
  </si>
  <si>
    <t>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t>
  </si>
  <si>
    <t>['batamnews', 'batam']</t>
  </si>
  <si>
    <t>['fakta',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t>
  </si>
  <si>
    <t>Seorang pria diduga tenggelam di Kali Angke, kawasan Petir, Kecamatan Cipondoh, Kota Tangerang, pada Senin (20/10/2025) dini hari. Peristiwa itu sontak menghebohkan warga sekitar.
Korban diketahui bernama Adi (30), warga Gang H. Lancong, Kelurahan Gondrong.
Ia diduga terjatuh dari flyover ke aliran Kali Angke dekat RS Mandaya Hospital sekitar pukul 03.00 WIB.
Komandan Tim Kantor SAR Jakarta, Aulia Shlihanto mengatakan, kejadian tersebut pertama kali dilihat oleh seorang tukang kopi.
"Tukang kopi teriak, lalu warga lain ikut mencari. Saat itu ada 6 orang di lokasi," katanya.
Menurut keterangan sementara, korban sempat terlibat konflik keluarga sebelum kejadian. Hal itu kini masih didalami oleh petugas.
Tim SAR gabungan mulai melakukan pencarian sejak pagi hingga sore hari.
"Kami bongkar tumpukan sampah di sekitar lokasi karena titik itu dicurigai,â€ katanya.
Dalam upaya pencarian, petugas menggunakan alat bantu Aqua-Eye untuk mendeteksi keberadaan korban di dalam air. Namun hingga sore hari, hasilnya masih nihil.
Proses penyisiran juga dilakukan hingga 3 km ke arah Bendungan Polor, Jakarta Barat, namun masih nihil.
Sebanyak 40 personel SAR gabungan dari Tangerang, Tangsel, Jakarta, dan sekitarnya turut dikerahkan dalam operasi pencarian.
Menjelang malam, operasi dihentikan sementara karena kondisi tidak memungkinkan.
Tim beralih melakukan pemantauan visual dari darat untuk mengantisipasi kemungkinan korban terseret arus.
Kondisi air yang keruh dan banyaknya tumpukan sampah menjadi kendala utama pencarian.
Selain itu, arus sungai yang deras turut menyulitkan proses penyelaman.
Pencarian akan kembali dilanjutkan pada Selasa pagi dengan memperluas area penyisiran hingga 7 kilometer dari titik awal kejadian.</t>
  </si>
  <si>
    <t>About Tangerang</t>
  </si>
  <si>
    <t>https://www.instagram.com/reel/DQCK35Dk8OX/</t>
  </si>
  <si>
    <t>pria diduga tenggelam kali angke kawasan petir kecamatan cipondoh kota tangerang senin peristiwa sontak menghebohkan warga korban bernama adi warga gang h lancong kelurahan gondrong diduga terjatuh flyover aliran kali angke rs mandaya hospital wib komandan tim kantor sar jakarta aulia shlihanto kejadian kali tukang kopi tukang kopi teriak warga mencari orang lokasi keterangan korban terlibat konflik keluarga kejadian didalami petugas tim sar gabungan pencarian pagi sore bongkar tumpukan sampah lokasi titik dicurigai upaya pencarian petugas alat bantu aquaeye mendeteksi keberadaan korban air sore hasilnya nihil proses penyisiran km arah bendungan polor jakarta barat nihil personel sar gabungan tangerang tangsel jakarta dikerahkan operasi pencarian menjelang malam operasi dihentikan kondisi tim beralih pemantauan visual darat mengantisipasi korban terseret arus kondisi air keruh banyaknya tumpukan sampah kendala utama pencarian arus sungai deras menyulitkan proses penyelaman pencarian dilanjutkan selasa pagi memperluas area penyisiran kilometer titik kejadian</t>
  </si>
  <si>
    <t>['pria', 'diduga', 'tenggelam', 'kali', 'angke', 'kawasan', 'petir', 'kecamatan', 'cipondoh', 'kota', 'tangerang', 'senin', 'peristiwa', 'sontak', 'menghebohkan', 'warga', 'korban', 'bernama', 'adi', 'warga', 'gang', 'h', 'lancong', 'kelurahan', 'gondrong', 'diduga', 'terjatuh', 'flyover', 'aliran', 'kali', 'angke', 'rs', 'mandaya', 'hospital', 'wib', 'komandan', 'tim', 'kantor', 'sar', 'jakarta', 'aulia', 'shlihanto', 'kejadian', 'kali', 'tukang', 'kopi', 'tukang', 'kopi', 'teriak', 'warga', 'mencari', 'orang', 'lokasi', 'keterangan', 'korban', 'terlibat', 'konflik', 'keluarga', 'kejadian', 'didalami', 'petugas', 'tim', 'sar', 'gabungan', 'pencarian', 'pagi', 'sore', 'bongkar', 'tumpukan', 'sampah', 'lokasi', 'titik', 'dicurigai', 'upaya', 'pencarian', 'petugas', 'alat', 'bantu', 'aquaeye', 'mendeteksi', 'keberadaan', 'korban', 'air', 'sore', 'hasilnya', 'nihil', 'proses', 'penyisiran', 'km', 'arah', 'bendungan', 'polor', 'jakarta', 'barat', 'nihil', 'personel', 'sar', 'gabungan', 'tangerang', 'tangsel', 'jakarta', 'dikerahkan', 'operasi', 'pencarian', 'menjelang', 'malam', 'operasi', 'dihentikan', 'kondisi', 'tim', 'beralih', 'pemantauan', 'visual', 'darat', 'mengantisipasi', 'korban', 'terseret', 'arus', 'kondisi', 'air', 'keruh', 'banyaknya', 'tumpukan', 'sampah', 'kendala', 'utama', 'pencarian', 'arus', 'sungai', 'deras', 'menyulitkan', 'proses', 'penyelaman', 'pencarian', 'dilanjutkan', 'selasa', 'pagi', 'memperluas', 'area', 'penyisiran', 'kilometer', 'titik', 'kejadian']</t>
  </si>
  <si>
    <t>Suasana Sumber Mata Air Aqua Sekarang ??
Diketahui longsor menimpa kawasan Cipondok, desa Pasanggrahan, Kecamatan Kasomalang. Minggu sore ini (7/1/2024).
__________
?? t/seputhe
#exploresubang</t>
  </si>
  <si>
    <t>https://www.instagram.com/reel/DPyLOuJEkNF/</t>
  </si>
  <si>
    <t>suasana sumber mata air aqua longsor menimpa kawasan cipondok desa pasanggrahan kecamatan kasomalang minggu sore tseputhe</t>
  </si>
  <si>
    <t>['suasana', 'sumber', 'mata', 'air', 'aqua', 'longsor', 'menimpa', 'kawasan', 'cipondok', 'desa', 'pasanggrahan', 'kecamatan', 'kasomalang', 'minggu', 'sore', 'tseputhe']</t>
  </si>
  <si>
    <t>Pendiri Indonesia Halal Watch (IHW), Ikhsan Abdullah, menyoroti dugaan penggunaan air sumur tanah dalam pada produk air minum dalam kemasan (AMDK) merek Aqua. Dugaan kecurangan ini dinilai tidak sesuai dengan klaim iklan yang menyebutkan sumber mata air pegunungan. Ikhsan menegaskan, jika terbukti benar, produsen Aqua dapat dikenakan sanksi hukum berdasarkan Undang-Undang Nomor 8 Tahun 1999 tentang Perlindungan Konsumen. Sanksi tersebut berpotensi mencakup pencabutan izin edar oleh BPOM, pembatalan sertifikasi halal oleh BPJPH, hingga penurunan materi iklan dari ruang publik.
Selain ancaman hukum, Ikhsan menilai reputasi produsen juga terancam rusak parah. Tindakan curang dapat menurunkan kepercayaan konsumen, memicu hilangnya pangsa pasar, bahkan menimbulkan risiko kesehatan serius seperti alergi, keracunan, hingga penyakit lain jika bahan baku tidak sesuai standar. IHW mendesak BPOM dan BPJPH melakukan pemeriksaan serta audit ketat, menegaskan bahwa kepatuhan produsen terhadap regulasi adalah kunci menjaga keamanan produk dan kepercayaan publik.
Naskah dan Desain: Asep Suherman
#Aqua #IndonesiaHalalWatch #BPOM #BPJPH #PerlindunganKonsumen #AMDK #SertifikasiHalal #BeritaTerkin</t>
  </si>
  <si>
    <t>Warta Ekonomi</t>
  </si>
  <si>
    <t>https://www.instagram.com/p/DQTliWbknY0/</t>
  </si>
  <si>
    <t>pendiri indonesia halal watch ihw ikhsan abdullah menyoroti dugaan penggunaan air sumur tanah produk air minum kemasan amdk merek aqua dugaan kecurangan dinilai sesuai klaim iklan sumber mata air pegunungan ikhsan terbukti produsen aqua dikenakan sanksi hukum berdasarkan undangundang nomor perlindungan konsumen sanksi berpotensi mencakup pencabutan izin edar bpom pembatalan sertifikasi halal bpjph penurunan materi iklan ruang publik ancaman hukum ikhsan menilai reputasi produsen terancam rusak parah tindakan curang menurunkan kepercayaan konsumen memicu hilangnya pangsa pasar menimbulkan risiko kesehatan serius alergi keracunan penyakit bahan baku sesuai standar ihw mendesak bpom bpjph pemeriksaan audit ketat kepatuhan produsen regulasi kunci menjaga keamanan produk kepercayaan publik naskah desain asep suherman</t>
  </si>
  <si>
    <t>['aqua', 'indonesiahalalwatch', 'bpom', 'bpjph', 'perlindungankonsumen', 'amdk', 'sertifikasihalal', 'beritaterkin']</t>
  </si>
  <si>
    <t>['pendiri', 'indonesia', 'halal', 'watch', 'ihw', 'ikhsan', 'abdullah', 'menyoroti', 'dugaan', 'penggunaan', 'air', 'sumur', 'tanah', 'produk', 'air', 'minum', 'kemasan', 'amdk', 'merek', 'aqua', 'dugaan', 'kecurangan', 'dinilai', 'sesuai', 'klaim', 'iklan', 'sumber', 'mata', 'air', 'pegunungan', 'ikhsan', 'terbukti', 'produsen', 'aqua', 'dikenakan', 'sanksi', 'hukum', 'berdasarkan', 'undangundang', 'nomor', 'perlindungan', 'konsumen', 'sanksi', 'berpotensi', 'mencakup', 'pencabutan', 'izin', 'edar', 'bpom', 'pembatalan', 'sertifikasi', 'halal', 'bpjph', 'penurunan', 'materi', 'iklan', 'ruang', 'publik', 'ancaman', 'hukum', 'ikhsan', 'menilai', 'reputasi', 'produsen', 'terancam', 'rusak', 'parah', 'tindakan', 'curang', 'menurunkan', 'kepercayaan', 'konsumen', 'memicu', 'hilangnya', 'pangsa', 'pasar', 'menimbulkan', 'risiko', 'kesehatan', 'serius', 'alergi', 'keracunan', 'penyakit', 'bahan', 'baku', 'sesuai', 'standar', 'ihw', 'mendesak', 'bpom', 'bpjph', 'pemeriksaan', 'audit', 'ketat', 'kepatuhan', 'produsen', 'regulasi', 'kunci', 'menjaga', 'keamanan', 'produk', 'kepercayaan', 'publik', 'naskah', 'desain', 'asep', 'suherman']</t>
  </si>
  <si>
    <t>Potongan video Dedi Mulyadi Gubernur Jawa Barat menyidak lokasi pengolahan air mineral AQUA viral di sosial media.
Dalam video yang berdurasi 26 menit 51 detik itu menayangkan dari mana sumber air AQUA digunakan. Pihak staf mengatakan sumber air yang digunakan dari bawah tanah dan melalui proses pengeboran.
Sontak Dedi terkejut. Dia mengira selama ini sumber air yang digunakan perusahaan berasal dari air permukaan atau mata air. Begitupun anggapan warganet.
Dikutip dari laman Aqua, Donone meluruskan informasi yang beredar di sosial media. Pihaknya menyebut AQUA tidak menggunakan air dari sumur bor biasa. AQUA menggunakan air dari akuifer dalam yang merupakan bagian dari sistem hidrogeologi pegunungan.
Air ini terlindungi secara alami dan telah melalui proses seleksi serta kajian ilmiah oleh para ahli dari UGM dan Unpad. Sebagian titik sumber juga bersifat self-flowing (mengalir alami).
#SuaraSurabaya #SuaraSurabayaMedia #SSemenit #Aqua #Danone #KDM</t>
  </si>
  <si>
    <t>SUARA SURABAYA</t>
  </si>
  <si>
    <t>https://www.instagram.com/reel/DQMWH20AYWN/</t>
  </si>
  <si>
    <t>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t>
  </si>
  <si>
    <t>['suarasurabaya', 'suarasurabayamedia', 'ssemenit', 'aqua', 'danone', 'kdm']</t>
  </si>
  <si>
    <t>['potongan',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t>
  </si>
  <si>
    <t>Air mineral yang kita kira â€œmurni dari pegununganâ€, ternyata bikin heboh publik. Dedi Mulyadi baru-baru ini mengunggah sidak ke pabrik Aqua di Subang, menemukan bahwa sumber air ternyata berasal dari sumur bor dalam sekitar 100â€“130 meter ke dalam tanah, bukan dari mata air pegunungan seperti yang selama ini diposisikan dalam iklan.
Temuan itu bikin banyak orang bertanya-tanya: apakah klaim â€œair pegununganâ€ cuma strategi marketing? Tak tinggal lama, Danone Indonesia menanggapi dengan bantahan yang menyatakan bahwa sumber air Aqua tetap berada di pegunungan, dan bahwa penggunaan sumur bor adalah bagian dari proses pemurnian atau pengambilan air yang memenuhi standar kualitas mereka. Karena adanya gap antara apa yang diklaim di iklan (mata air pegunungan alami) dan temuan lapangan (sumur bor dalam), banyak konsumen merasa kurang tersampaikan atau merasa dibohongi.
Selain itu, Dedi juga mempermasalahkan hal lain, yaitu pembayaran pajak Aqua. Menurut Dedi, perusahaan air kemasan seperti Aqua sudah mengambil sumber daya alam dari daerah (contohnya Subang, Sukabumi, atau Klaten), tapi pajak besarnya justru disetor ke pusat atau kantor pusat di Jakarta, bukan ke pemerintah daerah tempat air itu diambil. Akibatnya, masyarakat sekitar sumber air nggak terlalu merasakan manfaat ekonomi langsung, padahal lingkungan mereka yang â€œmenyumbangâ€ airnya.
Sumber: suara dan CNN Indonesia
#faktafakta #danone #aqua #sumbermataair #airpegunungan #sumurbor #dedimulyadi #infojabar</t>
  </si>
  <si>
    <t>FAKTAFAKTA</t>
  </si>
  <si>
    <t>https://www.instagram.com/reel/DQI_cxwk7C9/</t>
  </si>
  <si>
    <t>air mineral murni pegunungan bikin heboh publik dedi mulyadi barubaru mengunggah sidak pabrik aqua subang menemukan sumber air berasal sumur bor meter tanah mata air pegunungan diposisikan iklan temuan bikin orang bertanyatanya klaim air pegunungan strategi marketing tinggal danone indonesia menanggapi bantahan sumber air aqua pegunungan penggunaan sumur bor proses pemurnian pengambilan air memenuhi standar kualitas gap diklaim iklan mata air pegunungan alami temuan lapangan sumur bor konsumen dibohongi dedi mempermasalahkan pembayaran pajak aqua dedi perusahaan air kemasan aqua mengambil sumber daya alam daerah contohnya subang sukabumi klaten pajak besarnya disetor pusat kantor pusat jakarta pemerintah daerah air diambil akibatnya masyarakat sumber air nggak merasakan manfaat ekonomi langsung lingkungan menyumbang airnya sumber suara cnn indonesia</t>
  </si>
  <si>
    <t>['faktafakta', 'danone', 'aqua', 'sumbermataair', 'airpegunungan', 'sumurbor', 'dedimulyadi', 'infojabar']</t>
  </si>
  <si>
    <t>['air', 'mineral', 'murni', 'pegunungan', 'bikin', 'heboh', 'publik', 'dedi', 'mulyadi', 'barubaru', 'mengunggah', 'sidak', 'pabrik', 'aqua', 'subang', 'menemukan', 'sumber', 'air', 'berasal', 'sumur', 'bor', 'meter', 'tanah', 'mata', 'air', 'pegunungan', 'diposisikan', 'iklan', 'temuan', 'bikin', 'orang', 'bertanyatanya', 'klaim', 'air', 'pegunungan', 'strategi', 'marketing', 'tinggal', 'danone', 'indonesia', 'menanggapi', 'bantahan', 'sumber', 'air', 'aqua', 'pegunungan', 'penggunaan', 'sumur', 'bor', 'proses', 'pemurnian', 'pengambilan', 'air', 'memenuhi', 'standar', 'kualitas', 'gap', 'diklaim', 'iklan', 'mata', 'air', 'pegunungan', 'alami', 'temuan', 'lapangan', 'sumur', 'bor', 'konsumen', 'dibohongi', 'dedi', 'mempermasalahkan', 'pembayaran', 'pajak', 'aqua', 'dedi', 'perusahaan', 'air', 'kemasan', 'aqua', 'mengambil', 'sumber', 'daya', 'alam', 'daerah', 'contohnya', 'subang', 'sukabumi', 'klaten', 'pajak', 'besarnya', 'disetor', 'pusat', 'kantor', 'pusat', 'jakarta', 'pemerintah', 'daerah', 'air', 'diambil', 'akibatnya', 'masyarakat', 'sumber', 'air', 'nggak', 'merasakan', 'manfaat', 'ekonomi', 'langsung', 'lingkungan', 'menyumbang', 'airnya', 'sumber', 'suara', 'cnn', 'indonesia']</t>
  </si>
  <si>
    <t>Tidak semua air di bumi punya kisah pembentukan yang sama. Ada yang terbentuk cepat, seperti air permukaan dan air tanah dangkal. Ada juga yang butuh ratusan hingga ribuan tahun untuk kembali terisi, yaitu: 'air tanah dalam'.
Dalam ilmu lingkungan, 'air tanah dalam' adalah gudang cadangan utama yang menjaga mata air tetap mengalir, menahan tanah agar tidak turun, dan memastikan ekosistem di sekitarnya tetap hidup.
Jika dieksploitasi tanpa kontrol,
air ini lebih cepat habis daripada pulih.
Risikonya: tanah ambles, mata air mengering, dan jika di daerah pesisir dapat menyebabkan intrusi air laut.
Mengambil 'air tanah dalam' ibarat
membuat shortcut ke tabungan terakhir bumi. Cepat dan menguntungkan hari ini, tapi menguras masa depan tanpa kita sadari.
//save dulu
#airtanahdalam #aqua</t>
  </si>
  <si>
    <t>MapEnthusiast Indonesia ????</t>
  </si>
  <si>
    <t>https://www.instagram.com/reel/DQOvaynEZMW/</t>
  </si>
  <si>
    <t>air bumi kisah pembentukan terbentuk cepat air permukaan air tanah dangkal butuh ratusan ribuan terisi air tanah ilmu lingkungan air tanah gudang cadangan utama menjaga mata air mengalir menahan tanah turun ekosistem hidup dieksploitasi kontrol air cepat habis pulih risikonya tanah ambles mata air mengering daerah pesisir menyebabkan intrusi air laut mengambil air tanah shortcut tabungan bumi cepat menguntungkan menguras sadari save</t>
  </si>
  <si>
    <t>['airtanahdalam', 'aqua']</t>
  </si>
  <si>
    <t>['air', 'bumi', 'kisah', 'pembentukan', 'terbentuk', 'cepat', 'air', 'permukaan', 'air', 'tanah', 'dangkal', 'butuh', 'ratusan', 'ribuan', 'terisi', 'air', 'tanah', 'ilmu', 'lingkungan', 'air', 'tanah', 'gudang', 'cadangan', 'utama', 'menjaga', 'mata', 'air', 'mengalir', 'menahan', 'tanah', 'turun', 'ekosistem', 'hidup', 'dieksploitasi', 'kontrol', 'air', 'cepat', 'habis', 'pulih', 'risikonya', 'tanah', 'ambles', 'mata', 'air', 'mengering', 'daerah', 'pesisir', 'menyebabkan', 'intrusi', 'air', 'laut', 'mengambil', 'air', 'tanah', 'shortcut', 'tabungan', 'bumi', 'cepat', 'menguntungkan', 'menguras', 'sadari', 'save']</t>
  </si>
  <si>
    <t>INFOCIMAHI - Gubernur Jawa Barat, Dedi Mulyadi melakukan sidak ke pabrik air minum Aqua di Subang dan menyoroti aktivitas industri yang dinilai berisiko menimbulkan banjir serta longsor akibat pengambilan air tanah dalam jumlah besar.
Dalam video yang diunggah di akun YouTube @/dedimulyadi, Dedi terkejut setelah mengetahui bahwa sumber air Aqua berasal dari dua sumur bor dalam, bukan dari mata air pegunungan.
â€œAir gunung gak ambil bawah tanah, apa nggak geser tanahnya? Kalau di pegunungan, geser tanah berisiko. Ini harus diperhitungkan,â€ katanya.
Dedi meminta agar izin operasional dan pengambilan air tanah perusahaan tersebut ditinjau ulang serta mengingatkan agar tidak ada manipulasi data volume air yang diambil demi mencegah potensi bencana.
â€œDikira oleh saya dari air permukaan. Dari air sungai atau mata air. Berarti kategorinya sumur pompa dalam?â€ ujarnya lagi.
Menanggapi hal itu, manajemen Danone Indonesia menegaskan bahwa sumber air yang digunakan berasal dari sumber air pegunungan yang terlindungi.
â€œAir AQUA berasal dari 19 sumber air pegunungan yang tersebar di seluruh Indonesia. Setiap sumber air dipilih melalui proses seleksi ketat yang melibatkan 9 kriteria ilmiah, 5 tahapan evaluasi, dan minimal 1 tahun penelitian,â€ jelas Danone dalam keterangan resminya dikutip dari CNBC Indonesia.
Danone juga menjelaskan bahwa sumber air berasal dari akuifer dalam dengan kedalaman 60 hingga 140 meter yang terlindungi secara alami, serta ditetapkan melalui kajian ilmiah lintas disiplin untuk memastikan keamanan lingkungan dan masyarakat sekitar.
#Infocimahi #kotacimahi #cimahi #bandung #jawabarat #cimtizen #airaqua #aqua #kdm</t>
  </si>
  <si>
    <t>INFOCIMAHI</t>
  </si>
  <si>
    <t>https://www.instagram.com/p/DQI46QpksK4/</t>
  </si>
  <si>
    <t>infocimahi gubernur jawa barat dedi mulyadi sidak pabrik air minum aqua subang menyoroti aktivitas industri dinilai berisiko menimbulkan banjir longsor akibat pengambilan air tanah video diunggah akun youtube dedimulyadi dedi terkejut sumber air aqua berasal sumur bor mata air pegunungan air gunung gak ambil tanah nggak geser tanahnya pegunungan geser tanah berisiko diperhitungkan dedi izin operasional pengambilan air tanah perusahaan ditinjau ulang manipulasi data volume air diambil mencegah potensi bencana air permukaan air sungai mata air kategorinya sumur pompa menanggapi manajemen danone indonesia sumber air berasal sumber air pegunungan terlindungi air aqua berasal sumber air pegunungan tersebar indonesia sumber air dipilih proses seleksi ketat melibatkan kriteria ilmiah tahapan evaluasi minimal penelitian danone keterangan resminya dikutip cnbc indonesia danone sumber air berasal akuifer kedalaman meter terlindungi alami ditetapkan kajian ilmiah lintas disiplin keamanan lingkungan masyarakat</t>
  </si>
  <si>
    <t>['infocimahi', 'kotacimahi', 'cimahi', 'bandung', 'jawabarat', 'cimtizen', 'airaqua', 'aqua', 'kdm']</t>
  </si>
  <si>
    <t>['infocimahi', 'gubernur', 'jawa', 'barat', 'dedi', 'mulyadi', 'sidak', 'pabrik', 'air', 'minum', 'aqua', 'subang', 'menyoroti', 'aktivitas', 'industri', 'dinilai', 'berisiko', 'menimbulkan', 'banjir', 'longsor', 'akibat', 'pengambilan', 'air', 'tanah', 'video', 'diunggah', 'akun', 'youtube', 'dedimulyadi', 'dedi', 'terkejut', 'sumber', 'air', 'aqua', 'berasal', 'sumur', 'bor', 'mata', 'air', 'pegunungan', 'air', 'gunung', 'gak', 'ambil', 'tanah', 'nggak', 'geser', 'tanahnya', 'pegunungan', 'geser', 'tanah', 'berisiko', 'diperhitungkan', 'dedi', 'izin', 'operasional', 'pengambilan', 'air', 'tanah', 'perusahaan', 'ditinjau', 'ulang', 'manipulasi', 'data', 'volume', 'air', 'diambil', 'mencegah', 'potensi', 'bencana', 'air', 'permukaan', 'air', 'sungai', 'mata', 'air', 'kategorinya', 'sumur', 'pompa', 'menanggapi', 'manajemen', 'danone', 'indonesia', 'sumber', 'air', 'berasal', 'sumber', 'air', 'pegunungan', 'terlindungi', 'air', 'aqua', 'berasal', 'sumber', 'air', 'pegunungan', 'tersebar', 'indonesia', 'sumber', 'air', 'dipilih', 'proses', 'seleksi', 'ketat', 'melibatkan', 'kriteria', 'ilmiah', 'tahapan', 'evaluasi', 'minimal', 'penelitian', 'danone', 'keterangan', 'resminya', 'dikutip', 'cnbc', 'indonesia', 'danone', 'sumber', 'air', 'berasal', 'akuifer', 'kedalaman', 'meter', 'terlindungi', 'alami', 'ditetapkan', 'kajian', 'ilmiah', 'lintas', 'disiplin', 'keamanan', 'lingkungan', 'masyarakat']</t>
  </si>
  <si>
    <t>Aqua Tofana â˜ ï¸??ï¸??
MUA &amp; Hair autojamesmakeup  pongsakjoejo_makeup 
Costume maya_modern 
Photographer ninja_wsp136 
Director atlove_tungkae 
Assistant pre._.mikaa 
#Halloween #Halloween2025 #Aquatofana</t>
  </si>
  <si>
    <t>Patraporn Wang</t>
  </si>
  <si>
    <t>https://www.instagram.com/p/DQS8HTiEh3d/</t>
  </si>
  <si>
    <t>aqua tofana mua hair autojamesmakeup pongsakjoejomakeup costume mayamodern photographer ninjawsp director atlovetungkae assistant premikaa</t>
  </si>
  <si>
    <t>['halloween', 'halloween2025', 'aquatofana']</t>
  </si>
  <si>
    <t>['aqua', 'tofana', 'mua', 'hair', 'autojamesmakeup', 'pongsakjoejomakeup', 'costume', 'mayamodern', 'photographer', 'ninjawsp', 'director', 'atlovetungkae', 'assistant', 'premikaa']</t>
  </si>
  <si>
    <t>Kami mendengar dan menghargai setiap pertanyaan Anda.
Karena itu, kami berupaya memberikan informasi dan edukasi yang akurat untuk menjawab berbagai kekhawatiran yang belakangan ini beredar.
AQUA telah berdiri selama lebih dari lima dekade dan kami senantiasa berkomitmen untuk mengedepankan kualitas produk dan standar operasional kami.
Semoga melalui video ini, berbagai misinformasi yang beredar dapat diluruskan dengan baik. 
Sekali lagi terima kasih atas kepercayaan dan dukungan sahabat &amp; keluarga AQUA di mana pun Anda berada.</t>
  </si>
  <si>
    <t>https://www.instagram.com/reel/DQLf2Lakfq5/</t>
  </si>
  <si>
    <t>mendengar menghargai berupaya informasi edukasi akurat kekhawatiran beredar aqua berdiri dekade senantiasa berkomitmen mengedepankan kualitas produk standar operasional semoga video misinformasi beredar diluruskan terima kasih kepercayaan dukungan sahabat keluarga aqua</t>
  </si>
  <si>
    <t>['mendengar', 'menghargai', 'berupaya', 'informasi', 'edukasi', 'akurat', 'kekhawatiran', 'beredar', 'aqua', 'berdiri', 'dekade', 'senantiasa', 'berkomitmen', 'mengedepankan', 'kualitas', 'produk', 'standar', 'operasional', 'semoga', 'video', 'misinformasi', 'beredar', 'diluruskan', 'terima', 'kasih', 'kepercayaan', 'dukungan', 'sahabat', 'keluarga', 'aqua']</t>
  </si>
  <si>
    <t>Gubernur Jawa Barat, Dedi Mulyadi, melakukan inspeksi mendadak (sidak) ke pabrik air minum dalam kemasan (AMDK) Aqua yang berlokasi di Kabupaten Subang, Rabu (22/10/2025). 
Dalam kunjungan tersebut, ia menyoroti praktik pengambilan air tanah oleh industri yang dinilai berpotensi menimbulkan bencana lingkungan seperti banjir dan longsor di wilayah sekitarnya.
Dedi, yang akrab disapa Kang Dedi Mulyadi (KDM), menyampaikan keprihatinannya atas kondisi lingkungan di sekitar area industri. 
Ia menilai adanya indikasi penurunan kualitas lingkungan akibat aktivitas pengambilan air dalam jumlah besar. â€œSaya ingin tahu, berapa meter kubik air yang diambil setiap hari,â€ tanyanya kepada perwakilan perusahaan saat sidak berlangsung.
Seorang perwakilan perusahaan menjawab bahwa pabrik mengambil sekitar 2,8 juta liter air setiap hari. Mendengar jawaban tersebut, KDM menyoroti kebijakan perusahaan yang memperoleh sumber daya alam secara cuma-cuma. 
â€œKalau pabrik semen atau otomotif harus beli bahan baku. Tapi di sini, bahan bakunya gratis, padahal diambil dari bumi yang seharusnya milik rakyat,â€ ujarnya dalam tayangan kanal YouTube pribadinya.
Dedi menegaskan pentingnya pengelolaan sumber daya alam yang bertanggung jawab sesuai amanat konstitusi. 
Ia mengingatkan bahwa air dan kekayaan alam lainnya harus digunakan sebesar-besarnya untuk kemakmuran rakyat, bukan semata-mata keuntungan perusahaan. 
â€œJangan sampai air diangkut keluar daerah dan dijual mahal, sementara warga sekitar kesulitan air bersih,â€ tegasnya.
KDM juga dibuat terkejut setelah mengetahui bahwa sumber air yang digunakan berasal dari dua sumur bor dalam, bukan mata air pegunungan sebagaimana diasumsikan banyak pihak. â€œKalau ambil dari bawah tanah di kawasan pegunungan, itu bisa menggeser tanah dan memicu longsor,â€ ujarnya.
Atas temuan tersebut, Dedi Mulyadi meminta agar izin operasional perusahaan dan izin pengambilan air tanahnya segera ditinjau ulang. 
Ia menegaskan bahwa pemerintah tidak akan tinggal diam terhadap praktik industri yang berpotensi merusak lingkungan dan mengancam keselamatan masyarakat sekitar.</t>
  </si>
  <si>
    <t>https://www.instagram.com/reel/DQHMMI1Ae-2/</t>
  </si>
  <si>
    <t>gubernur jawa barat dedi mulyadi inspeksi mendadak sidak pabrik air minum kemasan amdk aqua berlokasi kabupaten subang rabu kunjungan menyoroti praktik pengambilan air tanah industri dinilai berpotensi menimbulkan bencana lingkungan banjir longsor wilayah dedi akrab disapa kang dedi mulyadi kdm keprihatinannya kondisi lingkungan area industri menilai indikasi penurunan kualitas lingkungan akibat aktivitas pengambilan air meter kubik air diambil perwakilan perusahaan sidak perwakilan perusahaan pabrik mengambil juta liter air mendengar kdm menyoroti kebijakan perusahaan memperoleh sumber daya alam cumacuma pabrik semen otomotif beli bahan baku bahan bakunya gratis diambil bumi milik rakyat tayangan kanal youtube pribadinya dedi pengelolaan sumber daya alam bertanggung sesuai amanat konstitusi air kekayaan alam sebesarbesarnya kemakmuran rakyat sematamata keuntungan perusahaan air diangkut daerah dijual mahal warga kesulitan air bersih kdm terkejut sumber air berasal sumur bor mata air pegunungan diasumsikan ambil tanah kawasan pegunungan menggeser tanah memicu longsor temuan dedi mulyadi izin operasional perusahaan izin pengambilan air tanahnya ditinjau ulang pemerintah tinggal diam praktik industri berpotensi merusak lingkungan mengancam keselamatan masyarakat</t>
  </si>
  <si>
    <t>['gubernur', 'jawa', 'barat', 'dedi', 'mulyadi', 'inspeksi', 'mendadak', 'sidak', 'pabrik', 'air', 'minum', 'kemasan', 'amdk', 'aqua', 'berlokasi', 'kabupaten', 'subang', 'rabu', 'kunjungan', 'menyoroti', 'praktik', 'pengambilan', 'air', 'tanah', 'industri', 'dinilai', 'berpotensi', 'menimbulkan', 'bencana', 'lingkungan', 'banjir', 'longsor', 'wilayah', 'dedi', 'akrab', 'disapa', 'kang', 'dedi', 'mulyadi', 'kdm', 'keprihatinannya', 'kondisi', 'lingkungan', 'area', 'industri', 'menilai', 'indikasi', 'penurunan', 'kualitas', 'lingkungan', 'akibat', 'aktivitas', 'pengambilan', 'air', 'meter', 'kubik', 'air', 'diambil', 'perwakilan', 'perusahaan', 'sidak', 'perwakilan', 'perusahaan', 'pabrik', 'mengambil', 'juta', 'liter', 'air', 'mendengar', 'kdm', 'menyoroti', 'kebijakan', 'perusahaan', 'memperoleh', 'sumber', 'daya', 'alam', 'cumacuma', 'pabrik', 'semen', 'otomotif', 'beli', 'bahan', 'baku', 'bahan', 'bakunya', 'gratis', 'diambil', 'bumi', 'milik', 'rakyat', 'tayangan', 'kanal', 'youtube', 'pribadinya', 'dedi', 'pengelolaan', 'sumber', 'daya', 'alam', 'bertanggung', 'sesuai', 'amanat', 'konstitusi', 'air', 'kekayaan', 'alam', 'sebesarbesarnya', 'kemakmuran', 'rakyat', 'sematamata', 'keuntungan', 'perusahaan', 'air', 'diangkut', 'daerah', 'dijual', 'mahal', 'warga', 'kesulitan', 'air', 'bersih', 'kdm', 'terkejut', 'sumber', 'air', 'berasal', 'sumur', 'bor', 'mata', 'air', 'pegunungan', 'diasumsikan', 'ambil', 'tanah', 'kawasan', 'pegunungan', 'menggeser', 'tanah', 'memicu', 'longsor', 'temuan', 'dedi', 'mulyadi', 'izin', 'operasional', 'perusahaan', 'izin', 'pengambilan', 'air', 'tanahnya', 'ditinjau', 'ulang', 'pemerintah', 'tinggal', 'diam', 'praktik', 'industri', 'berpotensi', 'merusak', 'lingkungan', 'mengancam', 'keselamatan', 'masyarakat']</t>
  </si>
  <si>
    <t>Fakta baru terungkap di balik tragedi ledakan kapal Federal II di galangan PT ASL Shipyard, Tanjunguncang, Batam, yang menewaskan belasan pekerja. Dugaan kuat menyebutkan bahwa tangki kapal belum menjalani proses tank cleaning atau pembersihan sisa minyak sebelum pekerjaan pengelasan dilakukan. Informasi ini diperoleh dari keterangan sejumlah pekerja yang selamat. Dua hari sebelum kejadian, tim fitting dari salah satu subkontraktor sudah memperingatkan pihak safety PT ASL bahwa bagian dalam tangki masih dipenuhi kerak minyak hitam yang mudah terbakar. â€œItu yang warna hitam semua kerak minyak, belum dibersihkan. Tapi bukannya disuruh stop kerja, malah disuruh standby air di botol Aqua, jadi kalau terbakar tinggal siram,â€ ungkap salah satu pekerja tim Rotary, yang diketahui menjadi kelompok dengan jumlah korban terbanyak.
#batamnews #batam #kecelakaankerja #kelalaiank3</t>
  </si>
  <si>
    <t>2906876289384922_1407118621414106</t>
  </si>
  <si>
    <t>https://www.facebook.com/504876721638305/posts/1407118621414106</t>
  </si>
  <si>
    <t>fakta terungkap tragedi ledakan kapal federal ii galangan pt asl shipyard tanjunguncang batam menewaskan belasan pekerja dugaan kuat tangki kapal menjalani proses tank cleaning pembersihan sisa minyak pekerjaan pengelasan informasi diperoleh keterangan pekerja selamat kejadian tim fitting salah subkontraktor memperingatkan safety pt asl tangki dipenuhi kerak minyak hitam mudah terbakar warna hitam kerak minyak dibersihkan disuruh stop kerja disuruh standby air botol aqua terbakar tinggal siram salah pekerja tim rotary kelompok korban</t>
  </si>
  <si>
    <t>['batamnews', 'batam', 'kecelakaankerja', 'kelalaiank3']</t>
  </si>
  <si>
    <t>['fakta', 'terungkap', 'tragedi', 'ledakan', 'kapal', 'federal', 'ii', 'galangan', 'pt', 'asl', 'shipyard', 'tanjunguncang', 'batam', 'menewaskan', 'belasan', 'pekerja', 'dugaan', 'kuat', 'tangki', 'kapal', 'menjalani', 'proses', 'tank', 'cleaning', 'pembersihan', 'sisa', 'minyak', 'pekerjaan', 'pengelasan', 'informasi', 'diperoleh', 'keterangan', 'pekerja', 'selamat', 'kejadian', 'tim', 'fitting', 'salah', 'subkontraktor', 'memperingatkan', 'safety', 'pt', 'asl', 'tangki', 'dipenuhi', 'kerak', 'minyak', 'hitam', 'mudah', 'terbakar', 'warna', 'hitam', 'kerak', 'minyak', 'dibersihkan', 'disuruh', 'stop', 'kerja', 'disuruh', 'standby', 'air', 'botol', 'aqua', 'terbakar', 'tinggal', 'siram', 'salah', 'pekerja', 'tim', 'rotary', 'kelompok', 'korban']</t>
  </si>
  <si>
    <t>â­•ï¸WASPADA TIPU DAYA BRAND TERAFILIASIâ­•ï¸
Bijak sebelum membeli, kalau kalian belum tergerak boikot karena aspek afiliasi, masih banyak aspek lain yang membuat brand terafiliasi harus di boikot, terlebih mereka memiliki ciri khas yang sama yaitu:
1. Tipu daya fungsi produk melalui iklan
2. Tidak sehat
3. Overprice
4. Pendukung LaGiBeTe
5. Antek asing
Sudah saatnya kembali kepada brand lokal, brand tetangga, brand kerabat yang terbukti bisa memajukan ekonomi umat &amp; bangsa, dan mempercepat runtuhnya brand terafiliasi.
Punya kisah skandal brand terafiliasi lainnya? Sharing di kolom komentar ya..
#Buycut #Boycott #Skandal #Scandal #Aqua</t>
  </si>
  <si>
    <t>https://www.instagram.com/reel/DQQQhcpEif8/</t>
  </si>
  <si>
    <t>waspada tipu daya brand terafiliasi bijak membeli tergerak boikot aspek afiliasi aspek brand terafiliasi boikot memiliki ciri khas tipu daya fungsi produk iklan sehat overprice pendukung lagibete antek asing brand lokal brand tetangga brand kerabat terbukti memajukan ekonomi umat bangsa mempercepat runtuhnya brand terafiliasi kisah skandal brand terafiliasi sharing kolom komentar ya</t>
  </si>
  <si>
    <t>['buycut', 'boycott', 'skandal', 'scandal', 'aqua']</t>
  </si>
  <si>
    <t>['waspada', 'tipu', 'daya', 'brand', 'terafiliasi', 'bijak', 'membeli', 'tergerak', 'boikot', 'aspek', 'afiliasi', 'aspek', 'brand', 'terafiliasi', 'boikot', 'memiliki', 'ciri', 'khas', 'tipu', 'daya', 'fungsi', 'produk', 'iklan', 'sehat', 'overprice', 'pendukung', 'lagibete', 'antek', 'asing', 'brand', 'lokal', 'brand', 'tetangga', 'brand', 'kerabat', 'terbukti', 'memajukan', 'ekonomi', 'umat', 'bangsa', 'mempercepat', 'runtuhnya', 'brand', 'terafiliasi', 'kisah', 'skandal', 'brand', 'terafiliasi', 'sharing', 'kolom', 'komentar', 'ya']</t>
  </si>
  <si>
    <t>TERBONGKAR Rahasia Aqua, Ternyata dari Sumur Bor, Dedi Mulyadi: Saya Kira Dari Mata Air</t>
  </si>
  <si>
    <t>Tribun Medan</t>
  </si>
  <si>
    <t>101746656537875_1247345540763401</t>
  </si>
  <si>
    <t>https://www.facebook.com/360608709437093/posts/1247345540763401</t>
  </si>
  <si>
    <t>terbongkar rahasia aqua sumur bor dedi mulyadi mata air</t>
  </si>
  <si>
    <t>['terbongkar', 'rahasia', 'aqua', 'sumur', 'bor', 'dedi', 'mulyadi', 'mata', 'air']</t>
  </si>
  <si>
    <t>Pernah terpikir dari mana asal air mineral yang kita minum setiap hari? Setiap tetes AQUA memiliki perjalanan panjang yang dimulai dari air hujan di lereng pegunungan terpilih. Air itu meresap perlahan ke dalam tanah, melewati lapisan batuan selama bertahun-tahun, hingga menjadi air mineral alami yang kaya manfaat.
AQUA dipilih dari sumber air pegunungan berdasarkan sembilan kriteria, lima tahapan, dan satu tahun penelitian. Airnya berasal dari aquifer tertekan yang terlindungi secara alami, bebas dari kontaminan dan tetap mengandung mineral alami.
Ini yang bikin AQUA beda karena tidak semua air itu AQUA.
#infojawabarat #jawabarat #jabaristimewa #bogor #subang #bekasi #bogor #sukabumi #cianjur</t>
  </si>
  <si>
    <t>INFO JAWA BARAT</t>
  </si>
  <si>
    <t>https://www.instagram.com/reel/DQG1QOKiYID/</t>
  </si>
  <si>
    <t>terpikir air mineral minum tetes aqua memiliki perjalanan air hujan lereng pegunungan terpilih air meresap perlahan tanah melewati lapisan batuan bertahuntahun air mineral alami kaya manfaat aqua dipilih sumber air pegunungan berdasarkan sembilan kriteria tahapan penelitian airnya berasal aquifer tertekan terlindungi alami bebas kontaminan mengandung mineral alami bikin aqua beda air aqua</t>
  </si>
  <si>
    <t>['infojawabarat', 'jawabarat', 'jabaristimewa', 'bogor', 'subang', 'bekasi', 'bogor', 'sukabumi', 'cianjur']</t>
  </si>
  <si>
    <t>['terpikir', 'air', 'mineral', 'minum', 'tetes', 'aqua', 'memiliki', 'perjalanan', 'air', 'hujan', 'lereng', 'pegunungan', 'terpilih', 'air', 'meresap', 'perlahan', 'tanah', 'melewati', 'lapisan', 'batuan', 'bertahuntahun', 'air', 'mineral', 'alami', 'kaya', 'manfaat', 'aqua', 'dipilih', 'sumber', 'air', 'pegunungan', 'berdasarkan', 'sembilan', 'kriteria', 'tahapan', 'penelitian', 'airnya', 'berasal', 'aquifer', 'tertekan', 'terlindungi', 'alami', 'bebas', 'kontaminan', 'mengandung', 'mineral', 'alami', 'bikin', 'aqua', 'beda', 'air', 'aqua']</t>
  </si>
  <si>
    <t>Gimana nih tanggapannya warga? 
Dalam sebuah sidak ke lapangan, Dedi Mulyadi mendadak emosi setelah mendengar pengakuan sopir truk pengangkut Aqua yang mengaku digaji di bawah UMR. Sang sopir menceritakan bahwa ia harus bekerja dari pagi hingga malam dengan beban kerja berat, namun penghasilannya tak sebanding. Dedi pun menyoroti ketimpangan ini, apalagi perusahaan yang mereka layani diketahui meraih keuntungan hingga triliunan rupiah setiap tahun. Momen tersebut menuai perhatian publik dan memicu perbincangan soal kesejahteraan para pekerja di lapangan.</t>
  </si>
  <si>
    <t>FEED WARGA</t>
  </si>
  <si>
    <t>https://www.instagram.com/reel/DQG8LYhkg_Q/</t>
  </si>
  <si>
    <t>gimana nih tanggapannya warga sidak lapangan dedi mulyadi mendadak emosi mendengar pengakuan sopir truk pengangkut aqua mengaku digaji umr sang sopir menceritakan pagi malam beban kerja berat penghasilannya sebanding dedi menyoroti ketimpangan perusahaan layani meraih keuntungan triliunan rupiah momen menuai perhatian publik memicu perbincangan kesejahteraan pekerja lapangan</t>
  </si>
  <si>
    <t>['gimana', 'nih', 'tanggapannya', 'warga', 'sidak', 'lapangan', 'dedi', 'mulyadi', 'mendadak', 'emosi', 'mendengar', 'pengakuan', 'sopir', 'truk', 'pengangkut', 'aqua', 'mengaku', 'digaji', 'umr', 'sang', 'sopir', 'menceritakan', 'pagi', 'malam', 'beban', 'kerja', 'berat', 'penghasilannya', 'sebanding', 'dedi', 'menyoroti', 'ketimpangan', 'perusahaan', 'layani', 'meraih', 'keuntungan', 'triliunan', 'rupiah', 'momen', 'menuai', 'perhatian', 'publik', 'memicu', 'perbincangan', 'kesejahteraan', 'pekerja', 'lapangan']</t>
  </si>
  <si>
    <t>25 à¸žà¸´à¸à¸±à¸”à¸—à¸µà¹ˆà¹€à¸—à¸µà¹ˆà¸¢à¸§à¸—à¸µà¹ˆà¸à¸´à¸™à¸„à¸²à¹€à¸Ÿà¹ˆà¹‚à¸­à¸‹à¸²à¸à¹‰à¸²
à¹à¸šà¸šà¹„à¸¡à¹ˆà¸­à¸­à¸à¸™à¸­à¸à¹€à¸¡à¸·à¸­à¸‡à¹€à¸—à¸µà¹ˆà¸¢à¸§à¸‡à¹ˆà¸²à¸¢à¹„à¸›à¹€à¸­à¸‡à¹„à¸”à¹‰
à¸žà¸£à¹‰à¸­à¸¡à¹à¸žà¸¥à¸™à¸—à¸£à¸´à¸›à¸à¸²à¸£à¹€à¸”à¸´à¸™à¸—à¸²à¸‡à¹à¸šà¸šà¸‡à¹ˆà¸²à¸¢à¹†
à¹‚à¸­à¸‹à¸²à¸à¹‰à¸²â€¦ à¹€à¸¡à¸·à¸­à¸‡à¸—à¸µà¹ˆà¹„à¸›à¸à¸µà¹ˆà¸„à¸£à¸±à¹‰à¸‡à¸à¹‡à¹„à¸¡à¹ˆà¹€à¸„à¸¢à¸žà¸­ à¸—à¸£à¸´à¸›à¸™à¸µà¹‰à¸„à¸·à¸­à¸—à¸µà¹ˆà¸ªà¸¸à¸”à¸‚à¸­à¸‡à¸à¸²à¸£à¸à¸´à¸™â€“à¹€à¸—à¸µà¹ˆà¸¢à¸§â€“à¸Šà¹‰à¸­à¸›à¸ˆà¸£à¸´à¸‡à¹† à¹€à¸”à¸´à¸™à¹„à¸›à¸—à¸²à¸‡à¹„à¸«à¸™à¸à¹‡à¸¡à¸µà¸‚à¸­à¸‡à¸­à¸£à¹ˆà¸­à¸¢à¹ƒà¸«à¹‰à¸¥à¸­à¸‡ à¹à¸§à¸°à¸•à¸£à¸‡à¹„à¸«à¸™à¸à¹‡à¸¡à¸µà¸¡à¸¸à¸¡à¹ƒà¸«à¹‰à¸–à¹ˆà¸²à¸¢à¸£à¸¹à¸›à¹€à¸à¹‡à¸šà¹‚à¸¡à¹€à¸¡à¸™à¸•à¹Œ à¹€à¸—à¸µà¹ˆà¸¢à¸§à¸ˆà¸™à¸Ÿà¸´à¸™ à¹€à¸”à¸´à¸™à¸ˆà¸™à¸‚à¸²à¸¥à¹‰à¸² à¹à¸•à¹ˆà¸¢à¸±à¸‡à¹„à¸¡à¹ˆà¸­à¸¢à¸²à¸à¸à¸¥à¸±à¸š à¸£à¸¹à¹‰à¸•à¸±à¸§à¸­à¸µà¸à¸—à¸µ à¸à¸£à¸°à¹€à¸›à¹‹à¸²à¸•à¸±à¸‡à¸„à¹Œà¸à¹‡à¹€à¸šà¸²à¸¥à¸‡à¹€à¸žà¸£à¸²à¸°à¹à¸«à¸¥à¹ˆà¸‡à¸Šà¹‰à¸­à¸›à¸™à¸µà¹ˆà¹à¸«à¸¥à¸° à¹ƒà¸„à¸£à¸—à¸µà¹ˆà¸à¸³à¸¥à¸±à¸‡à¹à¸žà¸¥à¸™à¸¡à¸² à¸šà¸­à¸à¹€à¸¥à¸¢à¸§à¹ˆà¸²à¸•à¹‰à¸­à¸‡à¹€à¸•à¸£à¸µà¸¢à¸¡à¹ƒà¸ˆ à¹€à¸•à¸£à¸µà¸¢à¸¡à¸à¸£à¸°à¹€à¸›à¹‹à¸² à¹à¸¥à¹‰à¸§à¸›à¸¥à¹ˆà¸­à¸¢à¸•à¸±à¸§à¹€à¸­à¸‡à¹ƒà¸«à¹‰à¸ªà¸™à¸¸à¸à¸à¸±à¸šà¹€à¸¡à¸·à¸­à¸‡à¸™à¸µà¹‰à¹à¸šà¸šà¹€à¸•à¹‡à¸¡
à¹à¸žà¸¥à¸™à¹‚à¸­à¸‹à¸²à¸à¹‰à¸² 3 à¸§à¸±à¸™ 2 à¸„à¸·à¸™ à¹‚à¸”à¸¢à¹ƒà¸Šà¹‰ Osaka Amazing Pass (2 à¸§à¸±à¸™) à¹à¸šà¸šà¹„à¸¡à¹ˆà¸•à¹‰à¸­à¸‡à¸ˆà¹ˆà¸²à¸¢à¹€à¸žà¸´à¹ˆà¸¡ à¸žà¸£à¹‰à¸­à¸¡à¸žà¸´à¸à¸±à¸”à¹€à¸”à¸´à¸™à¸—à¸²à¸‡à¸”à¹‰à¸§à¸¢à¸£à¸–à¹„à¸Ÿà¹ƒà¸•à¹‰à¸”à¸´à¸™/à¸£à¸–à¹„à¸Ÿ JR à¹à¸¥à¸°à¸—à¸²à¸‡à¸­à¸­à¸à¹ƒà¸«à¹‰à¹€à¸£à¸µà¸¢à¸šà¸£à¹‰à¸­à¸¢à¸•à¸²à¸¡à¸™à¸µà¹‰à¸„à¹ˆà¸² (à¸­à¸±à¸™à¸™à¸µà¹‰à¸ˆà¸±à¸”à¸¡à¸²à¹ƒà¸«à¹‰à¹€à¸›à¹‡à¸™à¹à¸™à¸§à¸—à¸²à¸‡à¸«à¸²à¸à¸—à¸µà¹ˆà¹€à¸—à¸µà¹ˆà¸¢à¸§à¹€à¸¢à¸­à¸°à¹„à¸›à¸à¸¥à¸±à¸§à¹„à¸¡à¹ˆà¸—à¸±à¸™à¸ªà¸²à¸¡à¸²à¸£à¸–à¸•à¸±à¸”à¸­à¸­à¸à¹„à¸”à¹‰à¸•à¸²à¸¡à¸—à¸µà¹ˆà¸ªà¸°à¸”à¸§à¸à¹€à¸¥à¸¢à¸„à¹ˆà¸°)
?? Day 1 â€“ à¸•à¸°à¸¥à¸¸à¸¢à¸à¸±à¹ˆà¸‡à¸•à¸°à¸§à¸±à¸™à¸•à¸ (Amazing Pass Day 1)
à¹€à¸Šà¹‰à¸²
* Osaka Castle (MORINOMIYA Sta. Exit 3B / Tanimachi 4-chome Exit 1B)à¹€à¸”à¸´à¸™à¸Šà¸¡à¸£à¸­à¸šà¸›à¸£à¸²à¸ªà¸²à¸—à¹à¸¥à¸°à¸‚à¸¶à¹‰à¸™à¸Šà¸¡à¸§à¸´à¸§à¸”à¹‰à¸²à¸™à¸šà¸™ à¸›à¸£à¸²à¸ªà¸²à¸—à¸‡à¸”à¸‡à¸²à¸¡à¹à¸¥à¸°à¹€à¸›à¹‡à¸™à¹à¸¥à¸™à¸”à¹Œà¸¡à¸²à¸£à¹Œà¸à¸«à¸¥à¸±à¸
* Osaka City Hall + Aqua Liner Cruise (Yodoyabashi Sta. Exit 1)à¹ƒà¸Šà¹‰à¸žà¸²à¸ªà¸‚à¸¶à¹‰à¸™à¹€à¸£à¸·à¸­ Aqua Liner à¸Šà¸¡à¸§à¸´à¸§à¹à¸¡à¹ˆà¸™à¹‰à¸³à¸£à¸­à¸š Nakanoshima
à¹€à¸—à¸µà¹ˆà¸¢à¸‡
* à¹à¸§à¸°à¹€à¸”à¸´à¸™à¹€à¸¥à¹ˆà¸™à¸¢à¹ˆà¸²à¸™ Kitahama à¸„à¸²à¹€à¸Ÿà¹ˆ/à¸ªà¸–à¸²à¸›à¸±à¸•à¸¢à¸à¸£à¸£à¸¡à¸ªà¸§à¸¢à¹†
à¸šà¹ˆà¸²à¸¢
* Umeda Sky Building Floating Garden (Umeda Sta. Exit 9)à¸ˆà¸¸à¸”à¸Šà¸¡à¸§à¸´à¸§ 360 à¸­à¸‡à¸¨à¸² à¹€à¸«à¹‡à¸™à¸—à¸±à¹‰à¸‡à¹€à¸¡à¸·à¸­à¸‡à¹‚à¸­à¸‹à¸²à¸à¹‰à¸²
* HEP FIVE Ferris Wheel (Umeda Sta. Exit 5)à¹ƒà¸Šà¹‰à¸žà¸²à¸ªà¸‚à¸¶à¹‰à¸™à¸Ÿà¸£à¸µ à¸¡à¸¸à¸¡à¸–à¹ˆà¸²à¸¢à¸£à¸¹à¸›à¹à¸”à¸‡à¸ªà¸”à¸à¸¥à¸²à¸‡à¹€à¸¡à¸·à¸­à¸‡
à¹€à¸¢à¹‡à¸™
* Yakiniku Rikimaru (à¸ªà¸²à¸‚à¸² Umeda) (Umeda Sta. à¹€à¸”à¸´à¸™ 7 à¸™à¸²à¸—à¸µ)à¹€à¸™à¸·à¹‰à¸­à¸¢à¹ˆà¸²à¸‡à¸„à¸¸à¸“à¸ à¸²à¸žà¸”à¸µ à¸£à¸²à¸„à¸²à¸„à¸¸à¹‰à¸¡
?? Day 2 â€“ à¸•à¸°à¸¥à¸¸à¸¢ Osaka Bay + Minami (Amazing Pass Day 2)
à¹€à¸Šà¹‰à¸²
* Tempozan Giant Ferris Wheel (Osakako Sta. Exit 1)à¸Ÿà¸£à¸µà¸”à¹‰à¸§à¸¢à¸žà¸²à¸ª à¸¡à¸¸à¸¡à¸ªà¸¹à¸‡à¹€à¸«à¹‡à¸™à¸­à¹ˆà¸²à¸§à¹‚à¸­à¸‹à¸²à¸à¹‰à¸²
* Santa Maria Sunset Cruise (Tempozan Harbor Village, Osakako Sta.)à¹ƒà¸Šà¹‰à¸žà¸²à¸ªà¸™à¸±à¹ˆà¸‡à¹€à¸£à¸·à¸­à¸ˆà¸³à¸¥à¸­à¸‡à¸‚à¸­à¸‡à¹‚à¸„à¸¥à¸±à¸¡à¸šà¸±à¸ª
à¹€à¸—à¸µà¹ˆà¸¢à¸‡
* Unagi Kushiyaki Izumo (Namba Sta. Exit 15B)à¸›à¸¥à¸²à¹„à¸«à¸¥à¸¢à¹ˆà¸²à¸‡à¸‹à¸­à¸ªà¸ªà¸¹à¸•à¸£à¸žà¸´à¹€à¸¨à¸©
à¸šà¹ˆà¸²à¸¢
* Tsutenkaku Tower + Tower Slider (Ebisucho Sta. Exit 3)à¹à¸¥à¸™à¸”à¹Œà¸¡à¸²à¸£à¹Œà¸à¸¢à¹ˆà¸²à¸™ Shinsekai à¸žà¸£à¹‰à¸­à¸¡à¸ªà¹„à¸¥à¹€à¸”à¸­à¸£à¹Œà¸à¸£à¸°à¸ˆà¸
* à¹à¸§à¸°à¸à¸´à¸™ Kushikatsu Daruma (Dotonbori)
à¹€à¸¢à¹‡à¸™
* à¹€à¸”à¸´à¸™ Shinsaibashi-suji Shopping Street
* à¹à¸§à¸° Donguri Republic â€“ Shinsaibashi PARCO (à¸£à¹‰à¸²à¸™à¸ˆà¸´à¸šà¸¥à¸´)
* à¸‚à¸­à¸‡à¸«à¸§à¸²à¸™à¸›à¸´à¸”à¸—à¹‰à¸²à¸¢ Rikuro Ojisan Cheesecake (Namba)
* à¸”à¸´à¸™à¹€à¸™à¸­à¸£à¹Œ: Chibo Okonomiyaki Restaurant (Shinsaibashi Sta. Exit 7)
?? Day 3 â€“ à¸„à¸²à¹€à¸Ÿà¹ˆ/à¸Šà¹‰à¸­à¸›à¸›à¸´à¹‰à¸‡à¸à¹ˆà¸­à¸™à¸à¸¥à¸±à¸š (à¹„à¸¡à¹ˆà¹ƒà¸Šà¹‰à¸žà¸²à¸ª)
à¹€à¸Šà¹‰à¸²
* Nakazakicho (Nakazakicho Sta. Exit 2)à¹€à¸”à¸´à¸™à¸¢à¹ˆà¸²à¸™à¹‚à¸šà¸£à¸²à¸“ à¸šà¹‰à¸²à¸™à¹„à¸¡à¹‰à¹€à¸à¹ˆà¸² à¸„à¸²à¹€à¸Ÿà¹ˆà¸®à¸´à¸›à¹†
* Orange Street (Yotsubashi Sta. Exit 5)à¸–à¸™à¸™à¹à¸Ÿà¸Šà¸±à¹ˆà¸™ à¹€à¸Ÿà¸­à¸£à¹Œà¸™à¸´à¹€à¸ˆà¸­à¸£à¹Œ à¹€à¸—à¹ˆà¹†
à¹€à¸—à¸µà¹ˆà¸¢à¸‡
* Gyukatsu Motomura (Namba)à¸à¸´à¸§à¸„à¸±à¸•à¸ªà¸¶à¸à¸£à¸­à¸šà¸™à¸­à¸à¸™à¸¸à¹ˆà¸¡à¹ƒà¸™
* Ryukishin Rize à¸£à¸²à¹€à¸¡à¹‡à¸‡à¸™à¹‰à¸³à¸‹à¸¸à¸›à¹„à¸à¹ˆà¹€à¸‚à¹‰à¸¡à¸‚à¹‰à¸™
à¸šà¹ˆà¸²à¸¢
* à¸Šà¹‰à¸­à¸›à¸•à¹ˆà¸­à¸—à¸µà¹ˆ Kuromon Ichiba Market (Nippombashi Sta. Exit 10)
* à¸›à¸´à¸”à¸—à¹‰à¸²à¸¢à¸”à¹‰à¸§à¸¢ KURA Sushi (Shinsaibashi) à¸«à¸£à¸·à¸­ à¸£à¹‰à¸²à¸™ Keitei (Takashimaya 7F, Namba Sta. Exit 14)
?? à¸£à¹‰à¸²à¸™à¸­à¸²à¸«à¸²à¸£/à¸‚à¸™à¸¡à¸—à¸µà¹ˆà¹€à¸«à¸¥à¸·à¸­ (à¹€à¸¥à¸·à¸­à¸à¹€à¸ªà¸µà¸¢à¸šà¹„à¸”à¹‰à¸•à¸²à¸¡à¹€à¸§à¸¥à¸²)
* Maruyoshi (à¹„à¸à¹ˆà¸¢à¹ˆà¸²à¸‡à¸„à¸¸à¸Šà¸´) â€“ Shinsaibashi
* Genrokuzushi (à¸‹à¸¹à¸Šà¸´à¸ªà¸²à¸¢à¸žà¸²à¸™à¸”à¸±à¹‰à¸‡à¹€à¸”à¸´à¸¡) â€“ Dotonbori
* Aizuya Honten (à¸—à¸²à¹‚à¸à¸°à¸¢à¸²à¸à¸´à¸ªà¸¹à¸•à¸£à¸•à¹‰à¸™à¸•à¸³à¸£à¸±à¸š) â€“ Tamade Sta.
* Yakiniku Rikimaru (à¸­à¸µà¸à¸ªà¸²à¸‚à¸² Namba)
??à¹ƒà¸„à¸£à¸—à¸µà¹ˆà¸¡à¸µà¹à¸žà¸¥à¸™à¹„à¸›à¹‚à¸­à¸‹à¸²à¸à¹‰à¸²à¹à¸•à¹ˆà¸à¸¥à¸±à¸§à¸‡à¸šà¸šà¸²à¸™à¸›à¸¥à¸²à¸¢ à¸•à¹‰à¸­à¸‡à¸šà¸­à¸à¹€à¸¥à¸¢à¸§à¹ˆà¸² à¹„à¸—à¸¢à¹€à¸§à¸µà¸¢à¸•à¹€à¸ˆà¹‡à¸— à¸„à¸·à¸­à¸„à¸³à¸•à¸­à¸š! à¸šà¸´à¸™à¸•à¸£à¸‡à¸ˆà¸²à¸ à¸ªà¸¸à¸§à¸£à¸£à¸“à¸ à¸¹à¸¡à¸´ â†’ à¹à¸§à¸°à¸•à¹ˆà¸­à¹€à¸„à¸£à¸·à¹ˆà¸­à¸‡à¹„à¸—à¹€à¸›à¹à¸„à¹ˆ 1 à¸Šà¸±à¹ˆà¸§à¹‚à¸¡à¸‡ à¸à¹‡à¸•à¹ˆà¸­à¹€à¸„à¸£à¸·à¹ˆà¸­à¸‡à¹„à¸›à¹‚à¸­à¸‹à¸²à¸à¹‰à¸²à¹„à¸”à¹‰à¸ªà¸šà¸²à¸¢à¹†  à¹„à¸¡à¹ˆà¹€à¸ªà¸µà¸¢à¹€à¸§à¸¥à¸²à¹€à¸”à¸´à¸™à¸—à¸²à¸‡à¹€à¸¢à¸­à¸° à¹à¸–à¸¡à¸£à¸²à¸„à¸²à¸à¹‡à¸ˆà¸±à¸šà¸•à¹‰à¸­à¸‡à¹„à¸”à¹‰à¸ˆà¸£à¸´à¸‡à¹† à¹€à¸£à¸µà¸¢à¸à¸§à¹ˆà¸²à¹ƒà¸„à¸£à¸à¹‡à¸ªà¸²à¸¡à¸²à¸£à¸–à¸šà¸´à¸™à¹„à¸”à¹‰ à¹„à¸¡à¹ˆà¸•à¹‰à¸­à¸‡à¸£à¸­à¹€à¸‡à¸´à¸™à¹€à¸”à¸·à¸­à¸™à¸­à¸­à¸à¸à¹‡à¸ˆà¸­à¸‡à¸•à¸±à¹‹à¸§à¹„à¸”à¹‰à¹à¸¥à¹‰à¸§
?? à¹€à¸£à¸·à¹ˆà¸­à¸‡à¸„à¸§à¸²à¸¡à¸ªà¸°à¸”à¸§à¸à¸à¹‡à¸ˆà¸±à¸”à¹€à¸•à¹‡à¸¡
* Check-in à¸£à¸§à¸”à¹€à¸£à¹‡à¸§ à¹„à¸¡à¹ˆà¸•à¹‰à¸­à¸‡à¸¢à¸·à¸™à¸•à¹ˆà¸­à¸„à¸´à¸§à¸™à¸²à¸™ à¸›à¸£à¸°à¸«à¸¢à¸±à¸”à¹€à¸§à¸¥à¸²à¹„à¸›à¸­à¸µà¸
* à¸šà¸£à¸´à¸à¸²à¸£à¸„à¸£à¸š à¸—à¸±à¹‰à¸‡à¸à¸£à¸°à¹€à¸›à¹‹à¸² à¹‚à¸«à¸¥à¸”à¸‡à¹ˆà¸²à¸¢ à¸—à¸µà¹ˆà¸™à¸±à¹ˆà¸‡à¸ªà¸šà¸²à¸¢ à¹„à¸¡à¹ˆà¸£à¸¹à¹‰à¸ªà¸¶à¸à¸§à¹ˆà¸²à¸šà¸´à¸™à¸›à¸£à¸°à¸«à¸¢à¸±à¸”à¹à¸¥à¹‰à¸§à¸•à¹‰à¸­à¸‡à¸—à¸™à¸¥à¸³à¸šà¸²à¸
* à¹€à¸ªà¹‰à¸™à¸—à¸²à¸‡à¸šà¸´à¸™à¸„à¸£à¸­à¸šà¸„à¸¥à¸¸à¸¡ à¸¡à¸µà¹„à¸Ÿà¸¥à¸•à¹Œà¹„à¸›à¸à¸¥à¸±à¸šà¸«à¸¥à¸²à¸¢à¸Šà¹ˆà¸§à¸‡à¹€à¸§à¸¥à¸² à¹€à¸¥à¸·à¸­à¸à¹„à¸”à¹‰à¸•à¸²à¸¡à¹„à¸¥à¸Ÿà¹Œà¸ªà¹„à¸•à¸¥à¹Œà¸‚à¸­à¸‡à¹à¸•à¹ˆà¸¥à¸°à¸„à¸™
à¸ªà¸³à¸«à¸£à¸±à¸šà¹ƒà¸„à¸£à¸—à¸µà¹ˆà¹€à¸¥à¹‡à¸‡à¹‚à¸­à¸‹à¸²à¸à¹‰à¸²à¹€à¸›à¹‡à¸™à¸ˆà¸¸à¸”à¸«à¸¡à¸²à¸¢à¸•à¹ˆà¸­à¹„à¸› à¸­à¸¢à¹ˆà¸²à¸¡à¸±à¸§à¸¥à¸±à¸‡à¹€à¸¥! âœ¨
à¸šà¸´à¸™à¸›à¸£à¸°à¸«à¸¢à¸±à¸” à¹à¸•à¹ˆà¸„à¸¸à¹‰à¸¡à¹€à¸à¸´à¸™à¸£à¸²à¸„à¸² à¸•à¹‰à¸­à¸‡ à¹„à¸—à¸¢à¹€à¸§à¸µà¸¢à¸•à¹€à¸ˆà¹‡à¸— à¹€à¸—à¹ˆà¸²à¸™à¸±à¹‰à¸™ 
à¸¥à¸­à¸‡à¹€à¸¥à¸¢à¸—à¸µà¹ˆ www.vietjetair.com
#à¹€à¸§à¸µà¸¢à¸•à¹€à¸ˆà¹‡à¸—à¸•à¸±à¸§à¸ˆà¸£à¸´à¸‡à¸ªà¸¸à¸§à¸£à¸£à¸“à¸ à¸¹à¸¡à¸´ #VietjetThailand #à¹€à¸—à¸µà¹ˆà¸¢à¸§à¸™à¸µà¹‰à¸šà¸´à¸™à¹€à¸§à¸µà¸¢à¸•à¹€à¸ˆà¹‡à¸—</t>
  </si>
  <si>
    <t>TravelHolic à¸Šà¸µà¸§à¸´à¸•à¸•à¸´à¸”à¹€à¸—à¸µà¹ˆà¸¢à¸§</t>
  </si>
  <si>
    <t>227943817574990_1418530846302090</t>
  </si>
  <si>
    <t>https://www.facebook.com/851523779669469/posts/1418530846302090</t>
  </si>
  <si>
    <t>osaka amazing pass jr day amazing pass day osaka castle morinomiya sta exit b tanimachi chome exit b osaka city hall aqua liner cruise yodoyabashi sta exit aqua liner nakanoshima kitahama umeda sky building floating garden umeda sta exit hep five ferris wheel umeda sta exit yakiniku rikimaru umeda umeda sta day osaka bay minami amazing pass day tempozan giant ferris wheel osakako sta exit santa maria sunset cruise tempozan harbor village osakako sta unagi kushiyaki izumo namba sta exit b tsutenkaku tower tower slider ebisucho sta exit shinsekai kushikatsu daruma dotonbori shinsaibashisuji shopping street donguri republic shinsaibashi parco rikuro ojisan cheesecake namba chibo okonomiyaki restaurant shinsaibashi sta exit day nakazakicho nakazakicho sta exit orange street yotsubashi sta exit gyukatsu motomura namba ryukishin rize kuromon ichiba market nippombashi sta exit kura sushi shinsaibashi keitei takashimaya f namba sta exit maruyoshi shinsaibashi genrokuzushi dotonbori aizuya honten tamade sta yakiniku rikimaru namba checkin wwwvietjetaircom</t>
  </si>
  <si>
    <t>['à¹€à¸§', 'vietjetthailand', 'à¹€à¸—']</t>
  </si>
  <si>
    <t>['osaka', 'amazing', 'pass', 'jr', 'day', 'amazing', 'pass', 'day', 'osaka', 'castle', 'morinomiya', 'sta', 'exit', 'b', 'tanimachi', 'chome', 'exit', 'b', 'osaka', 'city', 'hall', 'aqua', 'liner', 'cruise', 'yodoyabashi', 'sta', 'exit', 'aqua', 'liner', 'nakanoshima', 'kitahama', 'umeda', 'sky', 'building', 'floating', 'garden', 'umeda', 'sta', 'exit', 'hep', 'five', 'ferris', 'wheel', 'umeda', 'sta', 'exit', 'yakiniku', 'rikimaru', 'umeda', 'umeda', 'sta', 'day', 'osaka', 'bay', 'minami', 'amazing', 'pass', 'day', 'tempozan', 'giant', 'ferris', 'wheel', 'osakako', 'sta', 'exit', 'santa', 'maria', 'sunset', 'cruise', 'tempozan', 'harbor', 'village', 'osakako', 'sta', 'unagi', 'kushiyaki', 'izumo', 'namba', 'sta', 'exit', 'b', 'tsutenkaku', 'tower', 'tower', 'slider', 'ebisucho', 'sta', 'exit', 'shinsekai', 'kushikatsu', 'daruma', 'dotonbori', 'shinsaibashisuji', 'shopping', 'street', 'donguri', 'republic', 'shinsaibashi', 'parco', 'rikuro', 'ojisan', 'cheesecake', 'namba', 'chibo', 'okonomiyaki', 'restaurant', 'shinsaibashi', 'sta', 'exit', 'day', 'nakazakicho', 'nakazakicho', 'sta', 'exit', 'orange', 'street', 'yotsubashi', 'sta', 'exit', 'gyukatsu', 'motomura', 'namba', 'ryukishin', 'rize', 'kuromon', 'ichiba', 'market', 'nippombashi', 'sta', 'exit', 'kura', 'sushi', 'shinsaibashi', 'keitei', 'takashimaya', 'f', 'namba', 'sta', 'exit', 'maruyoshi', 'shinsaibashi', 'genrokuzushi', 'dotonbori', 'aizuya', 'honten', 'tamade', 'sta', 'yakiniku', 'rikimaru', 'namba', 'checkin', 'wwwvietjetaircom']</t>
  </si>
  <si>
    <t>Produsen air minum dalam kemasan Aqua, akhirnya angkat bicara merespons isu yang viral di media sosial. Isu ini mencuat setelah kunjungan mendadak Gubernur Jawa Barat Dedi Mulyadi, yang menyoroti sumber air yang digunakan pabrik Aqua, yang disebut berasal dari sumur bor biasa.
Melalui pernyataan resmi di situsnya, Aqua memastikan bahwa air yang mereka kemas berasal dari akuifer dalam dengan kedalaman 60-140 meter.
â€œKami memastikan menggunakan air dari akuifer dalam yang merupakan bagian dari sistem hidrogeologi pegunungan," jelas Aqua.
Perusahaan menekankan, air dari sumber tersebut terlindungi secara alami. Sebagian titik sumber juga bersifat self-flowing atau mengalir alami. 
Aqua mengatakan pemilihan dan pengambilan airnya pun telah melalui proses seleksi dan kajian ilmiah yang ketat dan dilakukan oleh tim ahli dari berbagai disiplin ilmu seperti geologi, hidrogeologi, geofisika, dan mikrobiologi.
#TirtoDaily</t>
  </si>
  <si>
    <t>https://www.instagram.com/reel/DQLU3p2ACjs/</t>
  </si>
  <si>
    <t>produsen air minum kemasan aqua angkat bicara merespons isu viral media sosial isu mencuat kunjungan mendadak gubernur jawa barat dedi mulyadi menyoroti sumber air pabrik aqua berasal sumur bor pernyataan resmi situsnya aqua air kemas berasal akuifer kedalaman meter air akuifer sistem hidrogeologi pegunungan aqua perusahaan menekankan air sumber terlindungi alami titik sumber bersifat selfflowing mengalir alami aqua pemilihan pengambilan airnya proses seleksi kajian ilmiah ketat tim ahli disiplin ilmu geologi hidrogeologi geofisika mikrobiologi</t>
  </si>
  <si>
    <t>['tirtodaily']</t>
  </si>
  <si>
    <t>['produsen', 'air', 'minum', 'kemasan', 'aqua', 'angkat', 'bicara', 'merespons', 'isu', 'viral', 'media', 'sosial', 'isu', 'mencuat', 'kunjungan', 'mendadak', 'gubernur', 'jawa', 'barat', 'dedi', 'mulyadi', 'menyoroti', 'sumber', 'air', 'pabrik', 'aqua', 'berasal', 'sumur', 'bor', 'pernyataan', 'resmi', 'situsnya', 'aqua', 'air', 'kemas', 'berasal', 'akuifer', 'kedalaman', 'meter', 'air', 'akuifer', 'sistem', 'hidrogeologi', 'pegunungan', 'aqua', 'perusahaan', 'menekankan', 'air', 'sumber', 'terlindungi', 'alami', 'titik', 'sumber', 'bersifat', 'selfflowing', 'mengalir', 'alami', 'aqua', 'pemilihan', 'pengambilan', 'airnya', 'proses', 'seleksi', 'kajian', 'ilmiah', 'ketat', 'tim', 'ahli', 'disiplin', 'ilmu', 'geologi', 'hidrogeologi', 'geofisika', 'mikrobiologi']</t>
  </si>
  <si>
    <t>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Danoneâ€“AQUA menyedot 15.737,79 megaliter air tanah sepanjang 2023 â€” setara 43 ribu meter kubik per hari. 
Padahal, penurunan muka air tanah di beberapa wilayah sudah mencapai 1â€“3 meter per tahun, dan bahkan permukaan tanah turun hingga 23 sentimeter di sekitar kawasan industri air minum. 
Masyarakat di sekitar pabrik, dari Jawa Barat hingga Jawa Timur, mulai merasakan dampaknya: sumur menipis, sawah mengering, dan musim kemarau jadi makin panjang. ??ï¸ â€œAir tanah adalah warisan kehidupan. 
Ia diam, tapi ketika habis, bumi akan retak,â€ tegas KDM. Sidak ini bukan sekadar soal izin â€” tapi soal hak publik atas air, sumber hidup yang seharusnya dijaga bersama. 
Kamu biasa minum air mineral apa?</t>
  </si>
  <si>
    <t>INFO PARUNG BOGOR</t>
  </si>
  <si>
    <t>https://www.instagram.com/p/DQI2Gt7ADRx/</t>
  </si>
  <si>
    <t>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t>
  </si>
  <si>
    <t>['kdm',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t>
  </si>
  <si>
    <t>Kang Dedi Mulyadi kembali jadi sorotan setelah melakukan sidak ke salah satu pabrik Aqua, menindaklanjuti keluhan warga soal jalan rusak di sekitar area pabrik.
Warga menilai, truk pengangkut air mineral dari pabrik tersebut sering melintas dengan beban berlebih, bikin jalan cepat rusak dan ngebuang dana rakyat buat perbaikan terus-menerus.
Dalam video yang beredar, KDM terlihat menegur pihak pabrik dan menyoroti dugaan pelanggaran jam operasional serta kelebihan muatan. Aksi ini kembali menunjukkan sikap tegas KDM dalam memperjuangkan kepentingan masyarakat kecil.
Karena kalau dibiarkan, jalan rusak bukan cuma soal aspal retak  tapi juga bukti kalau rakyat yang lagi-lagi harus nanggung akibatnya.
#cruside</t>
  </si>
  <si>
    <t>Crucial Side</t>
  </si>
  <si>
    <t>https://www.instagram.com/reel/DQI2iFnEgag/</t>
  </si>
  <si>
    <t>kang dedi mulyadi sorotan sidak salah pabrik aqua menindaklanjuti keluhan warga jalan rusak area pabrik warga menilai truk pengangkut air mineral pabrik melintas beban berlebih bikin jalan cepat rusak ngebuang dana rakyat perbaikan terusmenerus video beredar kdm menegur pabrik menyoroti dugaan pelanggaran jam operasional kelebihan muatan aksi sikap kdm memperjuangkan kepentingan masyarakat dibiarkan jalan rusak aspal retak bukti rakyat lagilagi nanggung akibatnya</t>
  </si>
  <si>
    <t>['cruside']</t>
  </si>
  <si>
    <t>['kang', 'dedi', 'mulyadi', 'sorotan', 'sidak', 'salah', 'pabrik', 'aqua', 'menindaklanjuti', 'keluhan', 'warga', 'jalan', 'rusak', 'area', 'pabrik', 'warga', 'menilai', 'truk', 'pengangkut', 'air', 'mineral', 'pabrik', 'melintas', 'beban', 'berlebih', 'bikin', 'jalan', 'cepat', 'rusak', 'ngebuang', 'dana', 'rakyat', 'perbaikan', 'terusmenerus', 'video', 'beredar', 'kdm', 'menegur', 'pabrik', 'menyoroti', 'dugaan', 'pelanggaran', 'jam', 'operasional', 'kelebihan', 'muatan', 'aksi', 'sikap', 'kdm', 'memperjuangkan', 'kepentingan', 'masyarakat', 'dibiarkan', 'jalan', 'rusak', 'aspal', 'retak', 'bukti', 'rakyat', 'lagilagi', 'nanggung', 'akibatnya']</t>
  </si>
  <si>
    <t>Brand air mineral Aqua tengah menjadi sorotan setelah Gubernur Jawa Barat, Dedi Mulyadi, mengunggah konten yang menyinggung sumber air Aqua yang ternyata berasal dari sumur dalam, bukan mata air permukaan seperti yang selama ini dikenal masyarakat. Di balik sorotan ini, Aqua memiliki sejarah panjang sebagai pelopor air minum dalam kemasan (AMDK) asli Indonesia yang didirikan oleh pengusaha Tirto Utomo pada tahun 1973.
Tirto Utomo memulai pendirian perusahaan bernama PT Golden Mississippi dengan pabrik pertama yang dibangun di Pondok Ungu, Bekasi, Jawa Barat. Visi Tirto sangat sederhana, yaitu menyediakan air minum yang higienis dan berkualitas untuk masyarakat Indonesia. Produk perdana Aqua diluncurkan pada 1974 dalam kemasan botol kaca dan mulai dikenal luas pada era itu, meski pada awalnya ide menjual air dalam botol dianggap aneh oleh masyarakat yang terbiasa merebus air tanah sendiri.
Popularitas Aqua mulai melejit saat proyek pembangunan Tol Jagorawi yang melibatkan banyak pekerja dan kontraktor asing. Mereka menjadi konsumen utama Aqua yang saat itu dipercaya sebagai air minum berkualitas dan praktis. Seiring berjalannya waktu, Aqua tumbuh menjadi merek air mineral terbesar di Indonesia dan kini saham mayoritasnya dimiliki oleh perusahaan Perancis, Danone.
Meski begitu, Aqua tetap menjadi bagian penting dari perjalanan bangsa Indonesia dengan akar yang murni local, lahir oleh orang Indonesia, dan untuk masyarakat Indonesia. Kisah Tirto Utomo yang mengawali semuanya dari ketulusan ingin menjawab kebutuhan air bersih di tanah air menjadi warisan penting yang masih dikenang hingga kini.</t>
  </si>
  <si>
    <t>636794109715023_1312547104238623</t>
  </si>
  <si>
    <t>https://www.facebook.com/351371880356155/posts/1312547104238623</t>
  </si>
  <si>
    <t>brand air mineral aqua sorotan gubernur jawa barat dedi mulyadi mengunggah konten menyinggung sumber air aqua berasal sumur mata air permukaan dikenal masyarakat sorotan aqua memiliki sejarah pelopor air minum kemasan amdk asli indonesia didirikan pengusaha tirto utomo tirto utomo pendirian perusahaan bernama pt golden mississippi pabrik dibangun pondok ungu bekasi jawa barat visi tirto sederhana menyediakan air minum higienis berkualitas masyarakat indonesia produk perdana aqua diluncurkan kemasan botol kaca dikenal luas era ide menjual air botol dianggap aneh masyarakat terbiasa merebus air tanah popularitas aqua melejit proyek pembangunan tol jagorawi melibatkan pekerja kontraktor asing konsumen utama aqua dipercaya air minum berkualitas praktis seiring berjalannya aqua tumbuh merek air mineral terbesar indonesia saham mayoritasnya dimiliki perusahaan perancis danone aqua perjalanan bangsa indonesia akar murni local lahir orang indonesia masyarakat indonesia kisah tirto utomo mengawali ketulusan kebutuhan air bersih tanah air warisan dikenang</t>
  </si>
  <si>
    <t>['brand', 'air', 'mineral', 'aqua', 'sorotan', 'gubernur', 'jawa', 'barat', 'dedi', 'mulyadi', 'mengunggah', 'konten', 'menyinggung', 'sumber', 'air', 'aqua', 'berasal', 'sumur', 'mata', 'air', 'permukaan', 'dikenal', 'masyarakat', 'sorotan', 'aqua', 'memiliki', 'sejarah', 'pelopor', 'air', 'minum', 'kemasan', 'amdk', 'asli', 'indonesia', 'didirikan', 'pengusaha', 'tirto', 'utomo', 'tirto', 'utomo', 'pendirian', 'perusahaan', 'bernama', 'pt', 'golden', 'mississippi', 'pabrik', 'dibangun', 'pondok', 'ungu', 'bekasi', 'jawa', 'barat', 'visi', 'tirto', 'sederhana', 'menyediakan', 'air', 'minum', 'higienis', 'berkualitas', 'masyarakat', 'indonesia', 'produk', 'perdana', 'aqua', 'diluncurkan', 'kemasan', 'botol', 'kaca', 'dikenal', 'luas', 'era', 'ide', 'menjual', 'air', 'botol', 'dianggap', 'aneh', 'masyarakat', 'terbiasa', 'merebus', 'air', 'tanah', 'popularitas', 'aqua', 'melejit', 'proyek', 'pembangunan', 'tol', 'jagorawi', 'melibatkan', 'pekerja', 'kontraktor', 'asing', 'konsumen', 'utama', 'aqua', 'dipercaya', 'air', 'minum', 'berkualitas', 'praktis', 'seiring', 'berjalannya', 'aqua', 'tumbuh', 'merek', 'air', 'mineral', 'terbesar', 'indonesia', 'saham', 'mayoritasnya', 'dimiliki', 'perusahaan', 'perancis', 'danone', 'aqua', 'perjalanan', 'bangsa', 'indonesia', 'akar', 'murni', 'local', 'lahir', 'orang', 'indonesia', 'masyarakat', 'indonesia', 'kisah', 'tirto', 'utomo', 'mengawali', 'ketulusan', 'kebutuhan', 'air', 'bersih', 'tanah', 'air', 'warisan', 'dikenang']</t>
  </si>
  <si>
    <t>Lari makin seru pas cuaca mendukung! ??ï¸
Seneng, semangat dan seger bareng AQUA di water station! ??
#GoodieBag13MiliarLebih #GoodieBagAlfamartRun13Miliar #GoodieBagSultan #GoodieBagFantastisAlfamart</t>
  </si>
  <si>
    <t>alfamartrun</t>
  </si>
  <si>
    <t>https://www.instagram.com/reel/DP-J3ZBk1hz/</t>
  </si>
  <si>
    <t>lari seru pas cuaca mendukung seneng semangat seger bareng aqua water station</t>
  </si>
  <si>
    <t>['goodiebag13miliarlebih', 'goodiebagalfamartrun13miliar', 'goodiebagsultan', 'goodiebagfantastisalfamart']</t>
  </si>
  <si>
    <t>['lari', 'seru', 'pas', 'cuaca', 'mendukung', 'seneng', 'semangat', 'seger', 'bareng', 'aqua', 'water', 'station']</t>
  </si>
  <si>
    <t>Tipu daya mereka terbongkar dengan cara-cara yang pastinya tidak mereka prediksi sebelumnya.
ÙˆÙŽÙ…ÙŽÙƒÙŽØ±ÙÙˆÙ’Ø§ ÙˆÙŽÙ…ÙŽÙƒÙŽØ±ÙŽ Ø§Ù„Ù„Ù‘Ù°Ù‡Ù Û—ÙˆÙŽØ§Ù„Ù„Ù‘Ù°Ù‡Ù Ø®ÙŽÙŠÙ’Ø±Ù Ø§Ù„Ù’Ù…Ù°ÙƒÙØ±ÙÙŠÙ’Ù†ÙŽ à£–
Mereka (orang-orang kafir) membuat tipu daya dan Allah pun membalas tipu daya (mereka). Allah sebaik-baik pembalas tipu daya. (QS. Ali 'Imran Ayat 54)
Yuk mention juga, air mineral bebas afiliasi andalan mu di kolom komentar!
#BuyCut #BoyCott #Boikot #Aqua</t>
  </si>
  <si>
    <t>https://www.instagram.com/reel/DQMOyLEiTrZ/</t>
  </si>
  <si>
    <t>tipu daya terbongkar caracara pastinya prediksi orangorang kafir tipu daya allah membalas tipu daya allah sebaikbaik pembalas tipu daya qs ali imran ayat yuk mention air mineral bebas afiliasi andalan mu kolom komentar</t>
  </si>
  <si>
    <t>['buycut', 'boycott', 'boikot', 'aqua']</t>
  </si>
  <si>
    <t>['tipu', 'daya', 'terbongkar', 'caracara', 'pastinya', 'prediksi', 'orangorang', 'kafir', 'tipu', 'daya', 'allah', 'membalas', 'tipu', 'daya', 'allah', 'sebaikbaik', 'pembalas', 'tipu', 'daya', 'qs', 'ali', 'imran', 'ayat', 'yuk', 'mention', 'air', 'mineral', 'bebas', 'afiliasi', 'andalan', 'mu', 'kolom', 'komentar']</t>
  </si>
  <si>
    <t>Setelah video inspeksi Dedi Mulyadi (KDM) ke pabrik AQUA viral di media sosial yang menampilkan empat sumur dengan kedalaman sekitar 100 meter, gubernur Jawa Barat itu akhirnya memberikan klarifikasi.
Pernyataan ini disampaikan untuk menanggapi berbagai spekulasi publik mengenai asal air produksi AQUA yang sebelumnya sempat memicu perdebatan di media sosial.</t>
  </si>
  <si>
    <t>SUKABUMI TODAY | berita update terkini</t>
  </si>
  <si>
    <t>https://www.instagram.com/reel/DQLexHCkyzA/</t>
  </si>
  <si>
    <t>video inspeksi dedi mulyadi kdm pabrik aqua viral media sosial menampilkan sumur kedalaman meter gubernur jawa barat klarifikasi pernyataan menanggapi spekulasi publik air produksi aqua memicu perdebatan media sosial</t>
  </si>
  <si>
    <t>['video', 'inspeksi', 'dedi', 'mulyadi', 'kdm', 'pabrik', 'aqua', 'viral', 'media', 'sosial', 'menampilkan', 'sumur', 'kedalaman', 'meter', 'gubernur', 'jawa', 'barat', 'klarifikasi', 'pernyataan', 'menanggapi', 'spekulasi', 'publik', 'air', 'produksi', 'aqua', 'memicu', 'perdebatan', 'media', 'sosial']</t>
  </si>
  <si>
    <t>Ketua Badan Perlindungan Konsumen Nasional (BPKN) Mufti Mubarok menyatakan pihaknya akan memanggil manajemen dan Direktur utama PT Tirta Investama selaku produsen air minum kemasan merek Aqua.
Rencana pemanggilan tersebut dilakukan setelah muncul dugaan bahwa sumber air produksi berasal dari sumur bor atau air tanah, bukan dari mata air pegunungan sebagaimana diklaim dalam iklan produk mereka selama ini.
Mufti menegaskan BPKN punya tanggung jawab moral dan hukum untuk memastikan konsumen tidak disesatkan oleh informasi yang menyesatkan. BPKN akan berkoordinasi dengan Badan Pengawas Obat dan Makanan (BPOM) serta Kementerian Perindustrian untuk memeriksa izin sumber air dan memastikan tidak ada pelanggaran terhadap standar mutu air minum dalam kemasan (AMDK).
Baca selengkapnya di tempo.co dan link in bio.
#tempodotco #tempo #Aqua #air #minum #BPKN</t>
  </si>
  <si>
    <t>tempo.co by Tempo Media Group</t>
  </si>
  <si>
    <t>https://www.instagram.com/p/DQLzsV0jBS2/</t>
  </si>
  <si>
    <t>ketua badan perlindungan konsumen nasional bpkn mufti mubarok memanggil manajemen direktur utama pt tirta investama produsen air minum kemasan merek aqua rencana pemanggilan muncul dugaan sumber air produksi berasal sumur bor air tanah mata air pegunungan diklaim iklan produk mufti bpkn tanggung moral hukum konsumen disesatkan informasi menyesatkan bpkn berkoordinasi badan pengawas obat makanan bpom kementerian perindustrian memeriksa izin sumber air pelanggaran standar mutu air minum kemasan amdk baca selengkapnya tempoco link in bio</t>
  </si>
  <si>
    <t>['tempodotco', 'tempo', 'aqua', 'air', 'minum', 'bpkn']</t>
  </si>
  <si>
    <t>['ketua', 'badan', 'perlindungan', 'konsumen', 'nasional', 'bpkn', 'mufti', 'mubarok', 'memanggil', 'manajemen', 'direktur', 'utama', 'pt', 'tirta', 'investama', 'produsen', 'air', 'minum', 'kemasan', 'merek', 'aqua', 'rencana', 'pemanggilan', 'muncul', 'dugaan', 'sumber', 'air', 'produksi', 'berasal', 'sumur', 'bor', 'air', 'tanah', 'mata', 'air', 'pegunungan', 'diklaim', 'iklan', 'produk', 'mufti', 'bpkn', 'tanggung', 'moral', 'hukum', 'konsumen', 'disesatkan', 'informasi', 'menyesatkan', 'bpkn', 'berkoordinasi', 'badan', 'pengawas', 'obat', 'makanan', 'bpom', 'kementerian', 'perindustrian', 'memeriksa', 'izin', 'sumber', 'air', 'pelanggaran', 'standar', 'mutu', 'air', 'minum', 'kemasan', 'amdk', 'baca', 'selengkapnya', 'tempoco', 'link', 'in', 'bio']</t>
  </si>
  <si>
    <t>Mampir ke pabrik aqua ahâ€¦</t>
  </si>
  <si>
    <t>Hambaa Sahaya</t>
  </si>
  <si>
    <t>https://www.instagram.com/reel/DQTzPOjE0rx/</t>
  </si>
  <si>
    <t>mampir pabrik aqua ah</t>
  </si>
  <si>
    <t>['mampir', 'pabrik', 'aqua', 'ah']</t>
  </si>
  <si>
    <t>Baru-baru ini Gubernur Jawa Barat, Dedi Mulyadi (KDM), bikin heboh setelah mengungkap fakta mengejutkan soal sumber air minum dalam kemasan (AMDK). Dalam video sidaknya yang diunggah ke YouTube (21/10/2025), KDM menemukan bahwa air kemasan yang diklaim berasal dari â€œmata air pegununganâ€ ternyata diambil dari sumur bor artesis, pengeboran tanah dalam hingga lebih dari 100 meter.
Temuan ini memicu kekhawatiran soal eksploitasi air tanah. Riset menunjukkan, di beberapa daerah industri air minum, muka air tanah turun 1â€“3 meter per tahun. Data 2023 bahkan mencatat Danone-AQUA menyedot sekitar 15.737 megaliter per tahun (43 ribu meter kubik per hari), sebagian besar dari akuifer vulkanik tua yang butuh waktu sangat lama untuk pulih.
Meski secara hukum legal, publik mulai mempertanyakan keberlanjutan lingkungan dan kejujuran label produk. Soalnya, iklan masih menampilkan kesan air alami dari pegunungan, padahal kenyataannya hasil boran industri.
Warganet pun langsung ramai, banyak yang merasa â€œtertipuâ€ dan mulai mikir ulang soal air galon yang mereka minum tiap hari.
Gimana tanggapan kamu? Komen di bawah yaa
Silahkan tag ke teman kamu atau bagian ini ke cerita kamu sehingga kamu dapat dan menjangkau banyak orang.
Apakah kamu ingin info yang lainnya?
follow bisnismillenial dan dapatkan pembelajaran yang lainnya
#millenialeducation #suksesbutuhperjuangan #carajualanonline #bisnismillenial</t>
  </si>
  <si>
    <t>BISNIS MILLENIAL</t>
  </si>
  <si>
    <t>https://www.instagram.com/p/DQJmx36kbIO/</t>
  </si>
  <si>
    <t>barubaru gubernur jawa barat dedi mulyadi kdm bikin heboh mengungkap fakta mengejutkan sumber air minum kemasan amdk video sidaknya diunggah youtube kdm menemukan air kemasan diklaim berasal mata air pegunungan diambil sumur bor artesis pengeboran tanah meter temuan memicu kekhawatiran eksploitasi air tanah riset daerah industri air minum muka air tanah turun meter data mencatat danoneaqua menyedot megaliter ribu meter kubik akuifer vulkanik tua butuh pulih hukum legal publik keberlanjutan lingkungan kejujuran label produk iklan menampilkan kesan air alami pegunungan kenyataannya hasil boran industri warganet langsung ramai tertipu mikir ulang air galon minum gimana tanggapan komen yaa silahkan tag teman cerita menjangkau orang info follow bisnismillenial dapatkan pembelajaran</t>
  </si>
  <si>
    <t>['millenialeducation', 'suksesbutuhperjuangan', 'carajualanonline', 'bisnismillenial']</t>
  </si>
  <si>
    <t>['barubaru', 'gubernur', 'jawa', 'barat', 'dedi', 'mulyadi', 'kdm', 'bikin', 'heboh', 'mengungkap', 'fakta', 'mengejutkan', 'sumber', 'air', 'minum', 'kemasan', 'amdk', 'video', 'sidaknya', 'diunggah', 'youtube', 'kdm', 'menemukan', 'air', 'kemasan', 'diklaim', 'berasal', 'mata', 'air', 'pegunungan', 'diambil', 'sumur', 'bor', 'artesis', 'pengeboran', 'tanah', 'meter', 'temuan', 'memicu', 'kekhawatiran', 'eksploitasi', 'air', 'tanah', 'riset', 'daerah', 'industri', 'air', 'minum', 'muka', 'air', 'tanah', 'turun', 'meter', 'data', 'mencatat', 'danoneaqua', 'menyedot', 'megaliter', 'ribu', 'meter', 'kubik', 'akuifer', 'vulkanik', 'tua', 'butuh', 'pulih', 'hukum', 'legal', 'publik', 'keberlanjutan', 'lingkungan', 'kejujuran', 'label', 'produk', 'iklan', 'menampilkan', 'kesan', 'air', 'alami', 'pegunungan', 'kenyataannya', 'hasil', 'boran', 'industri', 'warganet', 'langsung', 'ramai', 'tertipu', 'mikir', 'ulang', 'air', 'galon', 'minum', 'gimana', 'tanggapan', 'komen', 'yaa', 'silahkan', 'tag', 'teman', 'cerita', 'menjangkau', 'orang', 'info', 'follow', 'bisnismillenial', 'dapatkan', 'pembelajaran']</t>
  </si>
  <si>
    <t>Tim SAR gabungan menemukan korban terseret ombak di Pantai Padang, dalam keadaan meninggal dunia pada Senin (20/10/2025) pagi. Korban bernama Mersel (17), seorang pelajar yang berdomisili di Kelurahan Berok Nipah, Kecamatan Padang Barat.
Kepala Kantor Pencarian dan Pertolongan (Basarnas) Padang, Abdul Malik, dalam laporannya mengatakan bahwa korban ditemukan sekitar pukul 07.30 WIB, berjarak kurang lebih 100 meter dari lokasi awal dilaporkan hilang.
â€œKorban atas nama Mersel berhasil ditemukan oleh tim SAR gabungan dalam keadaan meninggal dunia. Setelah dievakuasi, jen4zah langsung dibawa ke rumah duka,â€ katanya. 
Ia mengatakan, operasi pencarian melibatkan empat Search and Rescue Unit (SRU) yang melakukan penyisiran di sektor-sektor berbeda. Unsur SAR gabungan yang terlibat terdiri dari Basarnas Padang, TNI, Polairud, BPBD, Damkar, Satpol PP, PMI, komunitas Jetski Seadoo, KSB Padang Barat, dan masyarakat sekitar.
Adapun sejumlah peralatan yang digunakan antara lain RIB 02 Padang, RIB Satrol, LCR, jetski, drone thermal, Aqua Eye, serta perahu nelayan.
Setelah korban ditemukan, dilakukan debriefing seluruh unsur gabungan, dan operasi dinyatakan selesai serta diusulkan ditutup pada pukul 08.05 WIB.
Ia mengatakan, sebelumnya, operasi pencarian telah dilakukan sejak Minggu malam (19/10) setelah Basarnas menerima laporan dari Pusdalops BPBD Kota Padang pukul 18.15 WIB. 
â€œMersel dilaporkan terseret ombak saat mandi di pantai usai bermain bola bersama teman-temannya,â€Â katanya.
.
.
.
Baca berita dan informasi menarik lainnya seputar Sumatera Barat hanya di www.sumbarkita.id atau sanak bisa klik link di bio.
Jangan lupa tag sumbarkita.id jika ada informasi menarik dan peristiwa penting dan terkini.
=================================
#sumbar #sumatrabarat #sumbarkita #peristiwa #breakingnews #tenggelam #pantaipadang</t>
  </si>
  <si>
    <t>SUMBAR KITA</t>
  </si>
  <si>
    <t>https://www.instagram.com/reel/DQA1oS3ES4u/</t>
  </si>
  <si>
    <t>tim sar gabungan menemukan korban terseret ombak pantai padang meninggal dunia senin pagi korban bernama mersel pelajar berdomisili kelurahan berok nipah kecamatan padang barat kepala kantor pencarian pertolongan basarnas padang abdul malik laporannya korban ditemukan wib berjarak meter lokasi dilaporkan hilang korban nama mersel berhasil ditemukan tim sar gabungan meninggal dunia dievakuasi jenzah langsung dibawa rumah duka operasi pencarian melibatkan search and rescue unit sru penyisiran sektorsektor berbeda unsur sar gabungan terlibat basarnas padang tni polairud bpbd damkar satpol pp pmi komunitas jetski seadoo ksb padang barat masyarakat peralatan rib padang rib satrol lcr jetski drone thermal aqua eye perahu nelayan korban ditemukan debriefing unsur gabungan operasi dinyatakan selesai diusulkan ditutup wib operasi pencarian minggu malam basarnas menerima laporan pusdalops bpbd kota padang wib mersel dilaporkan terseret ombak mandi pantai bermain bola temantemannya baca berita informasi menarik seputar sumatera barat wwwsumbarkitaid sanak klik link bio lupa tag sumbarkitaid informasi menarik peristiwa terkini</t>
  </si>
  <si>
    <t>['sumbar', 'sumatrabarat', 'sumbarkita', 'peristiwa', 'breakingnews', 'tenggelam', 'pantaipadang']</t>
  </si>
  <si>
    <t>['tim', 'sar', 'gabungan', 'menemukan', 'korban', 'terseret', 'ombak', 'pantai', 'padang', 'meninggal', 'dunia', 'senin', 'pagi', 'korban', 'bernama', 'mersel', 'pelajar', 'berdomisili', 'kelurahan', 'berok', 'nipah', 'kecamatan', 'padang', 'barat', 'kepala', 'kantor', 'pencarian', 'pertolongan', 'basarnas', 'padang', 'abdul', 'malik', 'laporannya', 'korban', 'ditemukan', 'wib', 'berjarak', 'meter', 'lokasi', 'dilaporkan', 'hilang', 'korban', 'nama', 'mersel', 'berhasil', 'ditemukan', 'tim', 'sar', 'gabungan', 'meninggal', 'dunia', 'dievakuasi', 'jenzah', 'langsung', 'dibawa', 'rumah', 'duka', 'operasi', 'pencarian', 'melibatkan', 'search', 'and', 'rescue', 'unit', 'sru', 'penyisiran', 'sektorsektor', 'berbeda', 'unsur', 'sar', 'gabungan', 'terlibat', 'basarnas', 'padang', 'tni', 'polairud', 'bpbd', 'damkar', 'satpol', 'pp', 'pmi', 'komunitas', 'jetski', 'seadoo', 'ksb', 'padang', 'barat', 'masyarakat', 'peralatan', 'rib', 'padang', 'rib', 'satrol', 'lcr', 'jetski', 'drone', 'thermal', 'aqua', 'eye', 'perahu', 'nelayan', 'korban', 'ditemukan', 'debriefing', 'unsur', 'gabungan', 'operasi', 'dinyatakan', 'selesai', 'diusulkan', 'ditutup', 'wib', 'operasi', 'pencarian', 'minggu', 'malam', 'basarnas', 'menerima', 'laporan', 'pusdalops', 'bpbd', 'kota', 'padang', 'wib', 'mersel', 'dilaporkan', 'terseret', 'ombak', 'mandi', 'pantai', 'bermain', 'bola', 'temantemannya', 'baca', 'berita', 'informasi', 'menarik', 'seputar', 'sumatera', 'barat', 'wwwsumbarkitaid', 'sanak', 'klik', 'link', 'bio', 'lupa', 'tag', 'sumbarkitaid', 'informasi', 'menarik', 'peristiwa', 'terkini']</t>
  </si>
  <si>
    <t>Coba kasih love bomb di komen kalo kamu suka olahraga outdoor! ???? 
Kalau olahraga di outdoor, pasti pengen kulit terproteksi dari UV tapi tetap terasa nyaman. Untungnya ada Biore UV Aqua Rich yang memberikan #HighProtectionLightTexture. âœ… 
Dengan tekstur ringan dan proteksi maksimal, high-level performance sunscreen ini siap nemenin kamu untuk shine under the spotlight! âœ¨ 
#BiorÃ©UV #Sunscreen #StrayKids #SKZ #SKZOO #SUNLIGHTISYOURSPOTLIGHT</t>
  </si>
  <si>
    <t>Biore Women Indonesia</t>
  </si>
  <si>
    <t>https://www.instagram.com/p/DPktI_QEUZj/</t>
  </si>
  <si>
    <t>coba kasih love bomb komen kalo suka olahraga outdoor olahraga outdoor pengen kulit terproteksi uv nyaman untungnya biore uv aqua rich tekstur ringan proteksi maksimal highlevel performance sunscreen nemenin shine under the spotlight</t>
  </si>
  <si>
    <t>['highprotectionlighttexture', 'biorÃ©uv', 'sunscreen', 'straykids', 'skz', 'skzoo', 'sunlightisyourspotlight']</t>
  </si>
  <si>
    <t>['coba', 'kasih', 'love', 'bomb', 'komen', 'kalo', 'suka', 'olahraga', 'outdoor', 'olahraga', 'outdoor', 'pengen', 'kulit', 'terproteksi', 'uv', 'nyaman', 'untungnya', 'biore', 'uv', 'aqua', 'rich', 'tekstur', 'ringan', 'proteksi', 'maksimal', 'highlevel', 'performance', 'sunscreen', 'nemenin', 'shine', 'under', 'the', 'spotlight']</t>
  </si>
  <si>
    <t>Polisi menangkap pelaku pemb4karan hidup-hidup Asril Wahyudi (28), sopir asal Kabupaten Solok Selatan, Sumatera Barat, yang ditemukan tew4s terb4kar dalam truk di Kabupaten Ogan Ilir, Sumatera Selatan pada Senin (13/10/2025) dini hari.
Kabid Humas Polda Sumatera Selatan, Kombes Pol Nandang Muâ€™min Wijaya, mengatakan, pihaknya telah menangkap 3 pelaku inisial AS (24), RS (24), A (34) pada pada 19 Oktober 2025.
â€œTiga pelaku berhasil ditangkap dan sudah ditetapkan sebagai tersangka. Satu lagi DPO, identitasnya telah kita kantongi,â€ katanya dihubungi Sumbarkita, Selasa (21/10/2025).
Ia melanjutkan, selain menangkap pelaku pihaknya telah mengamankan barang bukti berupa 1 unit mobil tronton merek hino warna putih nomor polisi B 9098 UIU dalam keadaan sudah terb4kar, 1 buah botol aqua bekas untuk mengambil minyak mobil dari tangki mobil dan menyiramkan ke korban dan mobil, 1 unit handphone korban dalam keadaan sudah terb*kar.
Kunjungi web Sumbarkita untuk berita selengkapnya
.
.
Baca berita dan informasi menarik lainnya seputar Sumatera Barat hanya di www.sumbarkita.id atau sanak bisa klik link di bio.
Jangan lupa tag sumbarkita.id jika ada informasi menarik dan peristiwa penting dan terkini.
=================================
#sumbar #sumatrabarat #sumbarkita #hukum #kriminal #kriminalupdate</t>
  </si>
  <si>
    <t>https://www.instagram.com/p/DQDdn56ASHY/</t>
  </si>
  <si>
    <t>polisi menangkap pelaku pembkaran hiduphidup asril wahyudi sopir kabupaten solok selatan sumatera barat ditemukan tews terbkar truk kabupaten ogan ilir sumatera selatan senin kabid humas polda sumatera selatan kombes pol nandang mumin wijaya menangkap pelaku inisial as rs a oktober pelaku berhasil ditangkap ditetapkan tersangka dpo identitasnya kantongi dihubungi sumbarkita selasa melanjutkan menangkap pelaku mengamankan barang bukti unit mobil tronton merek hino warna putih nomor polisi b uiu terbkar buah botol aqua bekas mengambil minyak mobil tangki mobil menyiramkan korban mobil unit handphone korban terbkar kunjungi web sumbarkita berita selengkapnya baca berita informasi menarik seputar sumatera barat wwwsumbarkitaid sanak klik link bio lupa tag sumbarkitaid informasi menarik peristiwa terkini</t>
  </si>
  <si>
    <t>['sumbar', 'sumatrabarat', 'sumbarkita', 'hukum', 'kriminal', 'kriminalupdate']</t>
  </si>
  <si>
    <t>['polisi', 'menangkap', 'pelaku', 'pembkaran', 'hiduphidup', 'asril', 'wahyudi', 'sopir', 'kabupaten', 'solok', 'selatan', 'sumatera', 'barat', 'ditemukan', 'tews', 'terbkar', 'truk', 'kabupaten', 'ogan', 'ilir', 'sumatera', 'selatan', 'senin', 'kabid', 'humas', 'polda', 'sumatera', 'selatan', 'kombes', 'pol', 'nandang', 'mumin', 'wijaya', 'menangkap', 'pelaku', 'inisial', 'as', 'rs', 'a', 'oktober', 'pelaku', 'berhasil', 'ditangkap', 'ditetapkan', 'tersangka', 'dpo', 'identitasnya', 'kantongi', 'dihubungi', 'sumbarkita', 'selasa', 'melanjutkan', 'menangkap', 'pelaku', 'mengamankan', 'barang', 'bukti', 'unit', 'mobil', 'tronton', 'merek', 'hino', 'warna', 'putih', 'nomor', 'polisi', 'b', 'uiu', 'terbkar', 'buah', 'botol', 'aqua', 'bekas', 'mengambil', 'minyak', 'mobil', 'tangki', 'mobil', 'menyiramkan', 'korban', 'mobil', 'unit', 'handphone', 'korban', 'terbkar', 'kunjungi', 'web', 'sumbarkita', 'berita', 'selengkapnya', 'baca', 'berita', 'informasi', 'menarik', 'seputar', 'sumatera', 'barat', 'wwwsumbarkitaid', 'sanak', 'klik', 'link', 'bio', 'lupa', 'tag', 'sumbarkitaid', 'informasi', 'menarik', 'peristiwa', 'terkini']</t>
  </si>
  <si>
    <t>MALANG â€“ 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
Salah satu pemilik warung makan di Kota Malang, Tiamah, mengungkapkan bahwa permintaan konsumen terhadap Aqua memang sudah berkurang jauh, bahkan sebelum muncul isu sumur bor itu.
â€œJarang sekarang saya ambil merek Aqua, soalnya sudah jarang yang mau beli. Biasanya sekarang orang lebih suka Le Minerale, Cleo, atau yang baru itu, Aquiviva (merek lain air mineral),â€ ujar Tiamah, Minggu (26/10/2025).
Ia menambahkan, sejak banyak bermunculan merek lain dengan harga lebih terjangkau, Aqua semakin jarang diminati.
â€œMemang sejak banyak brand lain, Aqua jarang diminati. Banyak yang lebih murah juga soalnya,â€ ungkapnya.
Sementara itu, salah satu konsumen di Kota Malang, Abel, mengaku sudah lama tidak membeli Aqua. Ia menilai informasi yang beredar di media sosial tentang penggunaan air sumur bor membuatnya makin enggan membeli produk tersebut.
---
Sumber: TIMES INDONESIA
#infomalangan</t>
  </si>
  <si>
    <t>INFO MALANG TERUPDATE ??</t>
  </si>
  <si>
    <t>https://www.instagram.com/p/DQTAGw1EvHN/</t>
  </si>
  <si>
    <t>malang 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bermunculan merek harga terjangkau aqua jarang diminati brand aqua jarang diminati murah salah konsumen kota malang abel mengaku membeli aqua menilai informasi beredar media sosial penggunaan air sumur bor membuatnya enggan membeli produk sumber times indonesia</t>
  </si>
  <si>
    <t>['infomalangan']</t>
  </si>
  <si>
    <t>['malang', 'isu',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'bermunculan', 'merek', 'harga', 'terjangkau', 'aqua', 'jarang', 'diminati', 'brand', 'aqua', 'jarang', 'diminati', 'murah', 'salah', 'konsumen', 'kota', 'malang', 'abel', 'mengaku', 'membeli', 'aqua', 'menilai', 'informasi', 'beredar', 'media', 'sosial', 'penggunaan', 'air', 'sumur', 'bor', 'membuatnya', 'enggan', 'membeli', 'produk', 'sumber', 'times', 'indonesia']</t>
  </si>
  <si>
    <t>Gubernur Jawa Barat Dedi Mulyadi (KDM) mengungkapkan temuan mengejutkan pada 21 Oktober 2025. 
Ia menyebut, air minum dalam kemasan (AMDK) dari salah satu merek besar ternyata tidak bersumber dari mata air alami, melainkan berasal dari hasil pengeboran air tanah hingga kedalaman lebih dari 100 meter di bawah permukaan bumi.
Data menunjukkan, Danone AQUA telah mengambil sekitar 15.737,79 megaliter air tanah sepanjang tahun 2023 atau setara dengan 43 ribu meter kubik setiap hari. 
Akibatnya, di sejumlah wilayah terjadi penurunan muka air tanah 1â€“3 meter per tahun, bahkan tanah amblas hingga 23 sentimeter di sekitar kawasan industri air minum.
Sementara warga di sekitar pabrik, dari Jawa Barat sampai Jawa Timur, mulai merasakan dampaknya: sumur menipis, sawah mengering, dan musim kemarau terasa lebih panjang.
"Air tanah adalah warisan kehidupan. Ia mungkin diam, tapi ketika habis, bumi bisa retak,â€ ujar KDM.
Temuan ini bukan sekadar persoalan izin, tetapi menyangkut hak publik atas air sumber kehidupan yang seharusnya dilindungi untuk kepentingan bersama.
#airkemasan #airminum #aqua #dedimulyadi #gubernurjabar #pabrikaqua #mataair #sumurbor #antaranewscom
Video: YouTube/kang dedi mulyadi channel | Editor: Indita</t>
  </si>
  <si>
    <t>ANTARA News</t>
  </si>
  <si>
    <t>https://www.instagram.com/reel/DQHFzQaEvBf/</t>
  </si>
  <si>
    <t>gubernur jawa barat dedi mulyadi kdm temuan mengejutkan oktober menyebut air minum kemasan amdk salah merek bersumber mata air alami berasal hasil pengeboran air tanah kedalaman meter permukaan bumi data danone aqua mengambil megaliter air tanah setara ribu meter kubik akibatnya wilayah penurunan muka air tanah meter tanah amblas sentimeter kawasan industri air minum warga pabrik jawa barat jawa timur merasakan dampaknya sumur menipis sawah mengering musim kemarau air tanah warisan kehidupan diam habis bumi retak kdm temuan izin hak publik air sumber kehidupan dilindungi kepentingan video youtubekang dedi mulyadi channel editor indita</t>
  </si>
  <si>
    <t>['airkemasan', 'airminum', 'aqua', 'dedimulyadi', 'gubernurjabar', 'pabrikaqua', 'mataair', 'sumurbor', 'antaranewscom']</t>
  </si>
  <si>
    <t>['gubernur', 'jawa', 'barat', 'dedi', 'mulyadi', 'kdm', 'temuan', 'mengejutkan', 'oktober', 'menyebut', 'air', 'minum', 'kemasan', 'amdk', 'salah', 'merek', 'bersumber', 'mata', 'air', 'alami', 'berasal', 'hasil', 'pengeboran', 'air', 'tanah', 'kedalaman', 'meter', 'permukaan', 'bumi', 'data', 'danone', 'aqua', 'mengambil', 'megaliter', 'air', 'tanah', 'setara', 'ribu', 'meter', 'kubik', 'akibatnya', 'wilayah', 'penurunan', 'muka', 'air', 'tanah', 'meter', 'tanah', 'amblas', 'sentimeter', 'kawasan', 'industri', 'air', 'minum', 'warga', 'pabrik', 'jawa', 'barat', 'jawa', 'timur', 'merasakan', 'dampaknya', 'sumur', 'menipis', 'sawah', 'mengering', 'musim', 'kemarau', 'air', 'tanah', 'warisan', 'kehidupan', 'diam', 'habis', 'bumi', 'retak', 'kdm', 'temuan', 'izin', 'hak', 'publik', 'air', 'sumber', 'kehidupan', 'dilindungi', 'kepentingan', 'video', 'youtubekang', 'dedi', 'mulyadi', 'channel', 'editor', 'indita']</t>
  </si>
  <si>
    <t>Gubernur Jawa Barat (saat itu) Dedi Mulyadi (KDM) menemukan fakta miris usai melakukan inspeksi mendadak (sidak) ke pabrik air mineral kemasan merek Aqua di Subang. Sidak ini dilakukan menyusul kecelakaan maut yang melibatkan truk tronton bermuatan Aqua di wilayah Subang, yang menewaskan tiga orang dan melibatkan enam kendaraan.
KDM menemukan adanya praktik eksploitasi tenaga kerja dan penggunaan armada tua dengan muatan berlebihan, yang diduga menjadi pemicu kec*lak*an.
Fakta yang paling mengejutkan adalah upah yang diterima oleh para sopir. 
Seorang kakek sopir truk hanya diberi upah Rp125.000 untuk mengangkut 13 ton galon air mineral, padahal batas normalnya hanya 5 ton.
Ironisnya, tenaga sopir diperas hingga tiga kali lipat, namun upah harian mereka bahkan tidak cukup untuk mengisi setengah tangki solar truk yang dikendarai.
Dalam sidak tersebut, KDM juga mendapati kondisi truk yang dipakai untuk mengangkut air mineral tersebut. Truk tronton yang terlibat kecelakaan maut itu diketahui merupakan keluaran tahun 2010 dan setiap hari mengangkut beban hingga 14 ton air mineral, jauh melebihi batas standar.
Melihat temuan ini, Dedi Mulyadi melontarkan teguran keras kepada pihak perusahaan. Ia menilai perusahaan besar tersebut seharusnya malu karena bekerja sama dengan pihak angkutan yang menawarkan harga murah namun memiliki risiko keselamatan yang sangat tinggi.</t>
  </si>
  <si>
    <t>https://www.instagram.com/reel/DQMVRRNkWXz/</t>
  </si>
  <si>
    <t>gubernur jawa barat dedi mulyadi kdm menemukan fakta miris inspeksi mendadak sidak pabrik air mineral kemasan merek aqua subang sidak menyusul kecelakaan maut melibatkan truk tronton bermuatan aqua wilayah subang menewaskan orang melibatkan enam kendaraan kdm menemukan praktik eksploitasi tenaga kerja penggunaan armada tua muatan diduga pemicu keclakan fakta mengejutkan upah diterima sopir kakek sopir truk upah rp mengangkut ton galon air mineral batas normalnya ton ironisnya tenaga sopir diperas kali lipat upah harian mengisi tangki solar truk dikendarai sidak kdm mendapati kondisi truk dipakai mengangkut air mineral truk tronton terlibat kecelakaan maut keluaran mengangkut beban ton air mineral melebihi batas standar temuan dedi mulyadi melontarkan teguran keras perusahaan menilai perusahaan malu angkutan menawarkan harga murah memiliki risiko keselamatan</t>
  </si>
  <si>
    <t>['gubernur', 'jawa', 'barat', 'dedi', 'mulyadi', 'kdm', 'menemukan', 'fakta', 'miris', 'inspeksi', 'mendadak', 'sidak', 'pabrik', 'air', 'mineral', 'kemasan', 'merek', 'aqua', 'subang', 'sidak', 'menyusul', 'kecelakaan', 'maut', 'melibatkan', 'truk', 'tronton', 'bermuatan', 'aqua', 'wilayah', 'subang', 'menewaskan', 'orang', 'melibatkan', 'enam', 'kendaraan', 'kdm', 'menemukan', 'praktik', 'eksploitasi', 'tenaga', 'kerja', 'penggunaan', 'armada', 'tua', 'muatan', 'diduga', 'pemicu', 'keclakan', 'fakta', 'mengejutkan', 'upah', 'diterima', 'sopir', 'kakek', 'sopir', 'truk', 'upah', 'rp', 'mengangkut', 'ton', 'galon', 'air', 'mineral', 'batas', 'normalnya', 'ton', 'ironisnya', 'tenaga', 'sopir', 'diperas', 'kali', 'lipat', 'upah', 'harian', 'mengisi', 'tangki', 'solar', 'truk', 'dikendarai', 'sidak', 'kdm', 'mendapati', 'kondisi', 'truk', 'dipakai', 'mengangkut', 'air', 'mineral', 'truk', 'tronton', 'terlibat', 'kecelakaan', 'maut', 'keluaran', 'mengangkut', 'beban', 'ton', 'air', 'mineral', 'melebihi', 'batas', 'standar', 'temuan', 'dedi', 'mulyadi', 'melontarkan', 'teguran', 'keras', 'perusahaan', 'menilai', 'perusahaan', 'malu', 'angkutan', 'menawarkan', 'harga', 'murah', 'memiliki', 'risiko', 'keselamatan']</t>
  </si>
  <si>
    <t>Jagat maya tengah ramai memperbincangkan video sidak yang dilakukan oleh Gubernur Jawa Barat, Dedi Mulyadi, ke salah satu pabrik air mineral di Subang, Jawa Barat.
Dalam video yang viral di media sosial itu, Dedi, yang akrab disapa KDM, mempertanyakan klaim iklan 'air pegunungan alami' yang selama ini menjadi identitas kuat merek air mineral dalam kemasan (AMDK) terbesar di Indonesia tersebut.
Awalnya, KDM mempersoalkan jalan provinsi yang digunakan oleh perusahaan. "Jalan yang bagus dibangun provinsi tiap hari, ini hanya akan membahagiakan PT AQUA,"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â€œAir Pegunungan, Tapi dari Sumur Bor?â€ tanya KDM.
Pihak perusahaan menjelaskan bahwa proses pengeboran tersebut dilakukan untuk mendapatkan air dari lapisan tanah paling murni, yang dianggap memiliki kualitas terbaik untuk konsumsi. Namun, klarifikasi itu justru memicu perdebatan sengit di dunia maya.
Berita disadur dari: Jawapos.com I Rian Alfianto I Kamis, 23 Oktober 2025 I 09;59 WIB
?? YT/kangdedimulyadichannel</t>
  </si>
  <si>
    <t>MALANG RAYA INFO - MEDIA</t>
  </si>
  <si>
    <t>https://www.instagram.com/p/DQI3a6xErdp/</t>
  </si>
  <si>
    <t>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air pegunungan sumur bor kdm perusahaan proses pengeboran air lapisan tanah murni dianggap memiliki kualitas terbaik konsumsi klarifikasi memicu perdebatan sengit dunia maya berita disadur jawaposcom i rian alfianto i kamis oktober i wib ytkangdedimulyadichannel</t>
  </si>
  <si>
    <t>['jagat',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'air', 'pegunungan', 'sumur', 'bor', 'kdm', 'perusahaan', 'proses', 'pengeboran', 'air', 'lapisan', 'tanah', 'murni', 'dianggap', 'memiliki', 'kualitas', 'terbaik', 'konsumsi', 'klarifikasi', 'memicu', 'perdebatan', 'sengit', 'dunia', 'maya', 'berita', 'disadur', 'jawaposcom', 'i', 'rian', 'alfianto', 'i', 'kamis', 'oktober', 'i', 'wib', 'ytkangdedimulyadichannel']</t>
  </si>
  <si>
    <t>?? Fallinâ€™ in loveâ€¦
Sama siapa? Sama Stylo Y2K Series Aqua Breeze lah! ??
Warnanya adem, gayanya keren, dan vibes-nya tuh Y2K banget Bikin susah move on setiap lihat ??
Udah cobain naik yang ini belum?
Komen dong kalau kamu tim Aqua Breeze juga ??
hondafansbali 
#StyloY2KSeries
#AquaBreeze
#HondaStylo160
#160UpgradeYourPride
#HondaBali</t>
  </si>
  <si>
    <t>INFO DENPASAR</t>
  </si>
  <si>
    <t>https://www.instagram.com/reel/DPlm-D2E0ww/</t>
  </si>
  <si>
    <t>fallin in love stylo yk series aqua breeze warnanya adem gayanya keren vibesnya tuh yk banget bikin susah move on lihat udah cobain komen tim aqua breeze hondafansbali</t>
  </si>
  <si>
    <t>['styloy2kseries', 'aquabreeze', 'hondastylo160', '160upgradeyourpride', 'hondabali']</t>
  </si>
  <si>
    <t>['fallin', 'in', 'love', 'stylo', 'yk', 'series', 'aqua', 'breeze', 'warnanya', 'adem', 'gayanya', 'keren', 'vibesnya', 'tuh', 'yk', 'banget', 'bikin', 'susah', 'move', 'on', 'lihat', 'udah', 'cobain', 'komen', 'tim', 'aqua', 'breeze', 'hondafansbali']</t>
  </si>
  <si>
    <t>Hallo dari Biore UV! Siapa yang kesehariannya commuting tapi suka risih sama teriknya matahari? ?? 
Tenang, ada Biore UV Aqua Rich yang bisa memberikan #HighProtectionLightTexture! 
Kalo high protection sunscreen biasanya terasa berat, sunscreen ini justru ringan dan nyaman dipakai. Itâ€™s totally a high-level performance sunscreen that keeps you confident to shine under the spotlight. âœ¨ 
#BiorÃ©UV #Sunscreen #StrayKids
#SKZ #SKZOO
#SUNLIGHTISYOURSPOTLIGHT</t>
  </si>
  <si>
    <t>https://www.instagram.com/p/DPkpaGyEeaG/</t>
  </si>
  <si>
    <t>hallo biore uv kesehariannya commuting suka risih teriknya matahari tenang biore uv aqua rich kalo high protection sunscreen berat sunscreen ringan nyaman dipakai its totally a highlevel performance sunscreen that keeps you confident to shine under the spotlight</t>
  </si>
  <si>
    <t>['hallo', 'biore', 'uv', 'kesehariannya', 'commuting', 'suka', 'risih', 'teriknya', 'matahari', 'tenang', 'biore', 'uv', 'aqua', 'rich', 'kalo', 'high', 'protection', 'sunscreen', 'berat', 'sunscreen', 'ringan', 'nyaman', 'dipakai', 'its', 'totally', 'a', 'highlevel', 'performance', 'sunscreen', 'that', 'keeps', 'you', 'confident', 'to', 'shine', 'under', 'the', 'spotlight']</t>
  </si>
  <si>
    <t>Setelah ramai soal sumur bor oleh Aqua, Gubernur Jawa Barat Dedi Mulyadi kini menyoroti truk pembawa galon mereka. Dalam sebuah video yang dia unggah di media sosialnya, Dedi bertanya berapa berat muatan yang dibawa oleh truk milik Aqua. 
Pegawai yang ditanya tersebut pun menjawa 13,5 ton. Sementara itu, truk tersebut semestinya hanya boleh membawa muatan seberat 5 ton. Akibatnya, kata dedimulyadi71 , truk yang kelebihan muatan itu akan membuat jalan rusak. 
Produser: Eko Supriyadi
Kreator: Pangeran Arga 
#Republika #CekRepublikaAja #KDM</t>
  </si>
  <si>
    <t>Republika Online</t>
  </si>
  <si>
    <t>https://www.instagram.com/reel/DQLUxwfkty_/</t>
  </si>
  <si>
    <t>ramai sumur bor aqua gubernur jawa barat dedi mulyadi menyoroti truk pembawa galon video unggah media sosialnya dedi berat muatan dibawa truk milik aqua pegawai menjawa ton truk semestinya membawa muatan seberat ton akibatnya dedimulyadi truk kelebihan muatan jalan rusak produser eko supriyadi kreator pangeran arga</t>
  </si>
  <si>
    <t>['republika', 'cekrepublikaaja', 'kdm']</t>
  </si>
  <si>
    <t>['ramai', 'sumur', 'bor', 'aqua', 'gubernur', 'jawa', 'barat', 'dedi', 'mulyadi', 'menyoroti', 'truk', 'pembawa', 'galon', 'video', 'unggah', 'media', 'sosialnya', 'dedi', 'berat', 'muatan', 'dibawa', 'truk', 'milik', 'aqua', 'pegawai', 'menjawa', 'ton', 'truk', 'semestinya', 'membawa', 'muatan', 'seberat', 'ton', 'akibatnya', 'dedimulyadi', 'truk', 'kelebihan', 'muatan', 'jalan', 'rusak', 'produser', 'eko', 'supriyadi', 'kreator', 'pangeran', 'arga']</t>
  </si>
  <si>
    <t>AQUA melalui laman media sosial resmi menanggapi video viral Gubernur Jawa Barat Dedi Mulyadi yang sidak ke pabrik di Subang.
Dalam unggahannya, AQUA mengungkapkan setiap sumber air dipilih melalui proses seleksi ketat yang melibatkan 9 kriteria ilmiah, 5 tahapan evaluasi, serta minimal 1 tahun penelitian.
â€œAir AQUA berasal dari pegunungan terlindungi, mengandung mineral alami, dan telah memperoleh izin resmi dari pemerintah,â€ terangnya.
â€œKami juga berupaya mengembalikan air lebih banyak ke alam dan masyarakat melalui program konservasi yang tersertifikasi BRIN,â€ tambahnya.
-
Selengkapnya kunjungi website dengan klik link di bio atau download aplikasi di AppStore dan Google Play Store.
#InilahNews #AQUA #AirSumurBor #AQUASumurBor #AirMineral #KDM #DediMulyadi #Inilahcom #titiktengah #titikcerah</t>
  </si>
  <si>
    <t>Inilahcom</t>
  </si>
  <si>
    <t>117118211673312_1238385561666678</t>
  </si>
  <si>
    <t>https://www.facebook.com/reel/1091207866421983/</t>
  </si>
  <si>
    <t>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selengkapnya kunjungi website klik link bio download aplikasi appstore google play store</t>
  </si>
  <si>
    <t>['inilahnews', 'aqua', 'airsumurbor', 'aquasumurbor', 'airmineral', 'kdm', 'dedimulyadi', 'inilahcom', 'titiktengah', 'titikcerah']</t>
  </si>
  <si>
    <t>['aqua',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'selengkapnya', 'kunjungi', 'website', 'klik', 'link', 'bio', 'download', 'aplikasi', 'appstore', 'google', 'play', 'store']</t>
  </si>
  <si>
    <t>Tabrak Lari di Depan Al Azhar Pogung, Korban Harap Pelaku Menunjukkan Itikad Baik
Yogyakarta â€“ Telah terjadi insiden tabrak lari di depan Al Azhar Pogung, Sleman, pada Selasa (21/10) sore sekitar pukul 16.00 WIB.
Korban merupakan pengendara mobil berwarna putih yang mengalami kerusakan cukup parah di bagian samping kanan akibat terserempet mobil pickup pengangkut galon air (Aqua).
Menurut keterangan korban, kendaraan pelaku langsung melarikan diri usai kejadian tanpa memberikan pertanggungjawaban.
â€œSaya cuma berharap pelaku bisa melihat postingan ini dan menunjukkan itikad baiknya,â€ ujar korban melalui pesan yang disampaikan kepada redaksi.
Dari foto yang diterima, tampak sisi kanan kendaraan korban mengalami baret dan penyok cukup dalam, termasuk spion yang patah akibat benturan.
Warga sekitar diimbau bagi siapa pun yang mengetahui keberadaan pickup pengangkut galon air yang melintas di sekitar Pogung â€“ Al Azhar pada waktu kejadian, dapat memberikan informasi kepada pihak berwajib atau menghubungi korban secara langsung.</t>
  </si>
  <si>
    <t>Merapi Uncover</t>
  </si>
  <si>
    <t>https://www.instagram.com/p/DQEtBrCkrGZ/</t>
  </si>
  <si>
    <t>tabrak lari al azhar pogung korban harap pelaku itikad yogyakarta insiden tabrak lari al azhar pogung sleman selasa sore wib korban pengendara mobil berwarna putih mengalami kerusakan parah samping kanan akibat terserempet mobil pickup pengangkut galon air aqua keterangan korban kendaraan pelaku langsung melarikan kejadian pertanggungjawaban berharap pelaku postingan itikad baiknya korban pesan redaksi foto diterima sisi kanan kendaraan korban mengalami baret penyok spion patah akibat benturan warga diimbau keberadaan pickup pengangkut galon air melintas pogung al azhar kejadian informasi berwajib menghubungi korban langsung</t>
  </si>
  <si>
    <t>['tabrak', 'lari', 'al', 'azhar', 'pogung', 'korban', 'harap', 'pelaku', 'itikad', 'yogyakarta', 'insiden', 'tabrak', 'lari', 'al', 'azhar', 'pogung', 'sleman', 'selasa', 'sore', 'wib', 'korban', 'pengendara', 'mobil', 'berwarna', 'putih', 'mengalami', 'kerusakan', 'parah', 'samping', 'kanan', 'akibat', 'terserempet', 'mobil', 'pickup', 'pengangkut', 'galon', 'air', 'aqua', 'keterangan', 'korban', 'kendaraan', 'pelaku', 'langsung', 'melarikan', 'kejadian', 'pertanggungjawaban', 'berharap', 'pelaku', 'postingan', 'itikad', 'baiknya', 'korban', 'pesan', 'redaksi', 'foto', 'diterima', 'sisi', 'kanan', 'kendaraan', 'korban', 'mengalami', 'baret', 'penyok', 'spion', 'patah', 'akibat', 'benturan', 'warga', 'diimbau', 'keberadaan', 'pickup', 'pengangkut', 'galon', 'air', 'melintas', 'pogung', 'al', 'azhar', 'kejadian', 'informasi', 'berwajib', 'menghubungi', 'korban', 'langsung']</t>
  </si>
  <si>
    <t>AQUA mendengar dan menghargai setiap pertanyaan Anda.
AQUA telah hadir selama lebih dari lima dekade dan senantiasa berkomitmen untuk mengedepankan kualitas produk dan standar operasional kami.
Karena itu, AQUA berupaya memberikan informasi dan edukasi yang akurat untuk menjawab berbagai kekhawatiran yang belakangan ini beredar.
Semoga melalui video ini, berbagai misinformasi yang beredar dapat diluruskan dengan baik.
Sekali lagi terima kasih atas kepercayaan dan dukungan sahabat &amp; keluarga AQUA di mana pun Anda berada.
#iNews #Aqua</t>
  </si>
  <si>
    <t>officialinews</t>
  </si>
  <si>
    <t>https://www.instagram.com/p/DQMnKjMk5ZB/</t>
  </si>
  <si>
    <t>aqua mendengar menghargai aqua hadir dekade senantiasa berkomitmen mengedepankan kualitas produk standar operasional aqua berupaya informasi edukasi akurat kekhawatiran beredar semoga video misinformasi beredar diluruskan terima kasih kepercayaan dukungan sahabat keluarga aqua</t>
  </si>
  <si>
    <t>['inews', 'aqua']</t>
  </si>
  <si>
    <t>['aqua', 'mendengar', 'menghargai', 'aqua', 'hadir', 'dekade', 'senantiasa', 'berkomitmen', 'mengedepankan', 'kualitas', 'produk', 'standar', 'operasional', 'aqua', 'berupaya', 'informasi', 'edukasi', 'akurat', 'kekhawatiran', 'beredar', 'semoga', 'video', 'misinformasi', 'beredar', 'diluruskan', 'terima', 'kasih', 'kepercayaan', 'dukungan', 'sahabat', 'keluarga', 'aqua']</t>
  </si>
  <si>
    <t>Bener-bener deh Aqua, dimana-mana gak disukai. Semoga brand lokal cepat naik dan gantikan saudara nya VIT &amp; Evian ini, aamiin.
Tulis dong brand mineral lokal favoritmu di kolom komentar!!!
#Boycott #Buycut #Aqua #vit #Evian</t>
  </si>
  <si>
    <t>https://www.instagram.com/reel/DQRkOLHiQff/</t>
  </si>
  <si>
    <t>benerbener deh aqua dimanamana gak disukai semoga brand lokal cepat gantikan saudara nya vit evian aamiin tulis brand mineral lokal favoritmu kolom komentar</t>
  </si>
  <si>
    <t>['boycott', 'buycut', 'aqua', 'vit', 'evian']</t>
  </si>
  <si>
    <t>['benerbener', 'deh', 'aqua', 'dimanamana', 'gak', 'disukai', 'semoga', 'brand', 'lokal', 'cepat', 'gantikan', 'saudara', 'nya', 'vit', 'evian', 'aamiin', 'tulis', 'brand', 'mineral', 'lokal', 'favoritmu', 'kolom', 'komentar']</t>
  </si>
  <si>
    <t>Kementerian ESDM buka suara perihal polemik sumber air yang digunakan oleh produsen air minum dalam kemasan (AMDK) AQUA, yang menggunakan air dari sumur bor bukan mata air.
Wakil Menteri ESDM Yuliot Tanjung menjelaskan bahwa seluruh kegiatan pengambilan air tanah, termasuk yang dilakukan oleh perusahaan air minum dalam kemasan, sudah diatur dalam Peraturan Menteri ESDM.
Aturan tersebut adalah Peraturan Menteri ESDM No. 14 Tahun 2024 tentang Penyelenggaraan Izin Pengusahaan Air Tanah dan Persetujuan Air Tanah. "Jadi, untuk proses perizinannya sudah di detailkan di dalam Permen dan implementasinya di Badan Geologi," kata Yuliot di Kementerian ESDM, Jumat (24/10/2025).</t>
  </si>
  <si>
    <t>CNBC Indonesia</t>
  </si>
  <si>
    <t>https://www.instagram.com/p/DQORot2CdJa/</t>
  </si>
  <si>
    <t>kementerian esdm buka suara perihal polemik sumber air produsen air minum kemasan amdk aqua air sumur bor mata air wakil menteri esdm yuliot tanjung kegiatan pengambilan air tanah perusahaan air minum kemasan diatur peraturan menteri esdm aturan peraturan menteri esdm no penyelenggaraan izin pengusahaan air tanah persetujuan air tanah proses perizinannya detailkan permen implementasinya badan geologi yuliot kementerian esdm jumat</t>
  </si>
  <si>
    <t>['kementerian', 'esdm', 'buka', 'suara', 'perihal', 'polemik', 'sumber', 'air', 'produsen', 'air', 'minum', 'kemasan', 'amdk', 'aqua', 'air', 'sumur', 'bor', 'mata', 'air', 'wakil', 'menteri', 'esdm', 'yuliot', 'tanjung', 'kegiatan', 'pengambilan', 'air', 'tanah', 'perusahaan', 'air', 'minum', 'kemasan', 'diatur', 'peraturan', 'menteri', 'esdm', 'aturan', 'peraturan', 'menteri', 'esdm', 'no', 'penyelenggaraan', 'izin', 'pengusahaan', 'air', 'tanah', 'persetujuan', 'air', 'tanah', 'proses', 'perizinannya', 'detailkan', 'permen', 'implementasinya', 'badan', 'geologi', 'yuliot', 'kementerian', 'esdm', 'jumat']</t>
  </si>
  <si>
    <t>Gubernur Jawa Barat kang Dedi Mulyadi atau KDM kembali menyambangi pabrik AQUA Subang dan sempat bercengkarama dengan para karyawan.
Dirinya mengatakan tak ada niat menjelekan AQUA</t>
  </si>
  <si>
    <t>Kota Subang</t>
  </si>
  <si>
    <t>https://www.instagram.com/reel/DQL9k2oCRUV/</t>
  </si>
  <si>
    <t>gubernur jawa barat kang dedi mulyadi kdm menyambangi pabrik aqua subang bercengkarama karyawan niat menjelekan aqua</t>
  </si>
  <si>
    <t>['gubernur', 'jawa', 'barat', 'kang', 'dedi', 'mulyadi', 'kdm', 'menyambangi', 'pabrik', 'aqua', 'subang', 'bercengkarama', 'karyawan', 'niat', 'menjelekan', 'aqua']</t>
  </si>
  <si>
    <t>Inspeksi mendadak yang dilakukan oleh Gubernur Jawa Barat, Dedi Mulyadi ke pabrik Aqua di kawasan Subang, Jawa Barat, mengungkap sebuah fakta yang mengejutkan dari produk air mineral tersebut.
Air mineral yang selama ini dipasarkan dan dipersepsikan publik berasal dari mata air pegunungan alami, ternyata sumber utamanya adalah sumur bor dalam.
Dalam video yang diunggah di kanal YouTube KDM Channel, Dedi Mulyadi yang tiba di lokasi pabrik sempat meminta untuk bertemu dengan pimpinan perusahaan.
Namun, pihak pabrik menyatakan bahwa para manajer sedang berada di luar untuk mengikuti sebuah acara.
"Kebetulan kepala pabrik yang paling tinggi di sini sama manajernya sedang meeting di luar," ujar seorang perempuan perwakilan perusahaan dalam unggahan konten Youtube Kang Dedi Mulyadi pada Selasa 21 Oktober 2025.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Keterkejutan Dedi Mulyadi memuncak saat mengetahui sumber air pabrik Aqua tersebut untuk membuat produk air mineralnya.
Rupanya, air diambil menggunakan teknologi sumur bor dengan kedalaman mencapai 100 hingga 130 meter.
Mendengar fakta itu, gubernur yang akrab disapa Kang Dedi Mulyadi ini sempat terdiam sejenak.
"Oh ini airnya dibor? saya kira air permukaan, air dari mata air. Ternyata bukan dari mata air, tapi dari sumur pompa dalam," ujar Dedi Mulyadi dengan ekspresi terkejut.
Pihak perusahaan lantas menjelaskan bahwa pengambilan air dari lapisan tanah yang sangat dalam dilakukan untuk mendapatkan kualitas air terbaik.
"Semua air bawah tanah, Pak. Karena memang kualitas yang paling bagus itu yang paling dalam," jelas seorang staf pabrik.
Namun, Dedi Mulyadi menyoroti implikasi lebih luas dari aktivitas pengeboran dalam skala besar yang dilakukan perusahaan Aqua di kawasan pegunungan.
Ia mengaitkan praktik ini dengan perubahan tata air yang menyebabkan bencana ekologis di wilayah sekitar.
â€œDulu daerah seperti Kasomalang Subang tidak pernah banjir, sekarang sering. Ini menandakan ada persoalan lingkungan serius yang harus segera dibenahi,â€ tegasnya menyiratkan bahwa eksploitasi air tanah berlebihan dapat menjadi salah satu penyebabnya.
Sidak ini pun membuka mata publik mengenai proses produksi di balik air mineral kemasan yang banyak dikonsumsi masayarakat.</t>
  </si>
  <si>
    <t>Indramayu Info</t>
  </si>
  <si>
    <t>168946383306152_1391158519684331</t>
  </si>
  <si>
    <t>https://www.facebook.com/454376193362573/posts/1391158519684331</t>
  </si>
  <si>
    <t>inspeksi mendadak gubernur jawa barat dedi mulyadi pabrik aqua kawasan subang jawa barat mengungkap fakta mengejutkan produk air mineral air mineral dipasarkan dipersepsikan publik berasal mata air pegunungan alami sumber utamanya sumur bor video diunggah kanal youtube kdm channel dedi mulyadi lokasi pabrik bertemu pimpinan perusahaan pabrik manajer mengikuti acara kepala pabrik manajernya meeting perempuan perwakilan perusahaan unggahan konten youtube kang dedi mulyadi selasa oktober berhenti situ dedi mulyadi lokasi pengambilan sumber air pabrik aqua berjalan area pabrik menyoroti kondisi lingkungan dinilainya rawan longsor mengaitkannya aktivitas industri keterkejutan dedi mulyadi memuncak sumber air pabrik aqua produk air mineralnya air diambil teknologi sumur bor kedalaman mencapai meter mendengar fakta gubernur akrab disapa kang dedi mulyadi terdiam oh airnya dibor air permukaan air mata air mata air sumur pompa dedi mulyadi ekspresi terkejut perusahaan lantas pengambilan air lapisan tanah kualitas air terbaik air tanah kualitas bagus staf pabrik dedi mulyadi menyoroti implikasi luas aktivitas pengeboran skala perusahaan aqua kawasan pegunungan mengaitkan praktik perubahan tata air menyebabkan bencana ekologis wilayah daerah kasomalang subang banjir menandakan lingkungan serius dibenahi menyiratkan eksploitasi air tanah salah penyebabnya sidak membuka mata publik proses produksi air mineral kemasan dikonsumsi masayarakat</t>
  </si>
  <si>
    <t>['inspeksi', 'mendadak', 'gubernur', 'jawa', 'barat', 'dedi', 'mulyadi', 'pabrik', 'aqua', 'kawasan', 'subang', 'jawa', 'barat', 'mengungkap', 'fakta', 'mengejutkan', 'produk', 'air', 'mineral', 'air', 'mineral', 'dipasarkan', 'dipersepsikan', 'publik', 'berasal', 'mata', 'air', 'pegunungan', 'alami', 'sumber', 'utamanya', 'sumur', 'bor', 'video', 'diunggah', 'kanal', 'youtube', 'kdm', 'channel', 'dedi', 'mulyadi', 'lokasi', 'pabrik', 'bertemu', 'pimpinan', 'perusahaan', 'pabrik', 'manajer', 'mengikuti', 'acara', 'kepala', 'pabrik', 'manajernya', 'meeting', 'perempuan', 'perwakilan', 'perusahaan', 'unggahan', 'konten', 'youtube', 'kang', 'dedi', 'mulyadi', 'selasa', 'oktober', 'berhenti', 'situ', 'dedi', 'mulyadi', 'lokasi', 'pengambilan', 'sumber', 'air', 'pabrik', 'aqua', 'berjalan', 'area', 'pabrik', 'menyoroti', 'kondisi', 'lingkungan', 'dinilainya', 'rawan', 'longsor', 'mengaitkannya', 'aktivitas', 'industri', 'keterkejutan', 'dedi', 'mulyadi', 'memuncak', 'sumber', 'air', 'pabrik', 'aqua', 'produk', 'air', 'mineralnya', 'air', 'diambil', 'teknologi', 'sumur', 'bor', 'kedalaman', 'mencapai', 'meter', 'mendengar', 'fakta', 'gubernur', 'akrab', 'disapa', 'kang', 'dedi', 'mulyadi', 'terdiam', 'oh', 'airnya', 'dibor', 'air', 'permukaan', 'air', 'mata', 'air', 'mata', 'air', 'sumur', 'pompa', 'dedi', 'mulyadi', 'ekspresi', 'terkejut', 'perusahaan', 'lantas', 'pengambilan', 'air', 'lapisan', 'tanah', 'kualitas', 'air', 'terbaik', 'air', 'tanah', 'kualitas', 'bagus', 'staf', 'pabrik', 'dedi', 'mulyadi', 'menyoroti', 'implikasi', 'luas', 'aktivitas', 'pengeboran', 'skala', 'perusahaan', 'aqua', 'kawasan', 'pegunungan', 'mengaitkan', 'praktik', 'perubahan', 'tata', 'air', 'menyebabkan', 'bencana', 'ekologis', 'wilayah', 'daerah', 'kasomalang', 'subang', 'banjir', 'menandakan', 'lingkungan', 'serius', 'dibenahi', 'menyiratkan', 'eksploitasi', 'air', 'tanah', 'salah', 'penyebabnya', 'sidak', 'membuka', 'mata', 'publik', 'proses', 'produksi', 'air', 'mineral', 'kemasan', 'dikonsumsi', 'masayarakat']</t>
  </si>
  <si>
    <t>E100</t>
  </si>
  <si>
    <t>227268729878_1360563092397710</t>
  </si>
  <si>
    <t>https://www.facebook.com/751656319955060/posts/1360563092397710</t>
  </si>
  <si>
    <t>Bukan dari sumber mata air alami pegunungan, tapi dari sumur bor. 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Danoneâ€“AQUA menyedot 15.737,79 megaliter air tanah sepanjang 2023 â€” setara 43 ribu meter kubik per hari. 
Padahal, penurunan muka air tanah di beberapa wilayah sudah mencapai 1â€“3 meter per tahun, dan bahkan permukaan tanah turun hingga 23 sentimeter di sekitar kawasan industri air minum. 
Masyarakat di sekitar pabrik, dari Jawa Barat hingga Jawa Timur, mulai merasakan dampaknya: sumur menipis, sawah mengering, dan musim kemarau jadi makin panjang. ??ï¸ â€œAir tanah adalah warisan kehidupan. Ia diam, tapi ketika habis, bumi akan retak,â€ tegas KDM. 
Sidak ini bukan sekadar soal izin â€” tapi soal hak publik atas air, sumber hidup yang seharusnya dijaga bersama. Kamu biasa minum air mineral apa?
#infocileungsiid #cileungsiviral #infocileungsi #bogor</t>
  </si>
  <si>
    <t>Info Cileungsi dan Sekitarnya</t>
  </si>
  <si>
    <t>https://www.instagram.com/p/DQJVyBVEqTw/</t>
  </si>
  <si>
    <t>sumber mata air alami pegunungan sumur bor 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t>
  </si>
  <si>
    <t>['infocileungsiid', 'cileungsiviral', 'infocileungsi', 'bogor']</t>
  </si>
  <si>
    <t>['sumber', 'mata', 'air', 'alami', 'pegunungan', 'sumur', 'bor', 'kdm',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t>
  </si>
  <si>
    <t>Kementerian Energi dan Sumber Daya Mineral (ESDM) akhirnya menanggapi polemik sumber air yang digunakan oleh produsen air minum dalam kemasan (AMDK) Aqua, usai Gubernur Jawa Barat Dedi Mulyadi menyoroti praktik pengambilan air perusahaan tersebut. Wakil Menteri ESDM Yuliot Tanjung menegaskan, seluruh kegiatan pengambilan air tanah oleh perusahaan telah diatur ketat melalui peraturan menteri dan diawasi langsung oleh Badan Geologi. Ia menambahkan, jika ditemukan pelanggaran izin atau ketidaksesuaian, kegiatan pengambilan air bisa dihentikan sesuai kondisi di lapangan.
Sebelumnya, Dedi Mulyadi lewat unggahan di kanal YouTube Kang Dedi Mulyadi Channel, mengaku terkejut karena sumber air Aqua berasal dari empat sumur dengan kedalaman lebih dari 100 meter. Menurutnya, selama ini publik mengira air yang digunakan berasal dari air permukaan. Pernyataan ini memicu diskusi luas di media sosial, terutama soal transparansi dan keberlanjutan pengelolaan sumber daya air oleh industri air minum dalam kemasan.
Naskah dan Desain: Asep Suherman
#Aqua #ESDM #DediMulyadi #AirTanah #BeritaTerkini #LingkunganHidup #AMDK #KabarNasional</t>
  </si>
  <si>
    <t>https://www.instagram.com/p/DQOtGehjB6P/</t>
  </si>
  <si>
    <t>kementerian energi sumber daya mineral esdm menanggapi polemik sumber air produsen air minum kemasan amdk aqua gubernur jawa barat dedi mulyadi menyoroti praktik pengambilan air perusahaan wakil menteri esdm yuliot tanjung kegiatan pengambilan air tanah perusahaan diatur ketat peraturan menteri diawasi langsung badan geologi ditemukan pelanggaran izin ketidaksesuaian kegiatan pengambilan air dihentikan sesuai kondisi lapangan dedi mulyadi unggahan kanal youtube kang dedi mulyadi channel mengaku terkejut sumber air aqua berasal sumur kedalaman meter menurutnya publik air berasal air permukaan pernyataan memicu diskusi luas media sosial transparansi keberlanjutan pengelolaan sumber daya air industri air minum kemasan naskah desain asep suherman</t>
  </si>
  <si>
    <t>['aqua', 'esdm', 'dedimulyadi', 'airtanah', 'beritaterkini', 'lingkunganhidup', 'amdk', 'kabarnasional']</t>
  </si>
  <si>
    <t>['kementerian', 'energi', 'sumber', 'daya', 'mineral', 'esdm', 'menanggapi', 'polemik', 'sumber', 'air', 'produsen', 'air', 'minum', 'kemasan', 'amdk', 'aqua', 'gubernur', 'jawa', 'barat', 'dedi', 'mulyadi', 'menyoroti', 'praktik', 'pengambilan', 'air', 'perusahaan', 'wakil', 'menteri', 'esdm', 'yuliot', 'tanjung', 'kegiatan', 'pengambilan', 'air', 'tanah', 'perusahaan', 'diatur', 'ketat', 'peraturan', 'menteri', 'diawasi', 'langsung', 'badan', 'geologi', 'ditemukan', 'pelanggaran', 'izin', 'ketidaksesuaian', 'kegiatan', 'pengambilan', 'air', 'dihentikan', 'sesuai', 'kondisi', 'lapangan', 'dedi', 'mulyadi', 'unggahan', 'kanal', 'youtube', 'kang', 'dedi', 'mulyadi', 'channel', 'mengaku', 'terkejut', 'sumber', 'air', 'aqua', 'berasal', 'sumur', 'kedalaman', 'meter', 'menurutnya', 'publik', 'air', 'berasal', 'air', 'permukaan', 'pernyataan', 'memicu', 'diskusi', 'luas', 'media', 'sosial', 'transparansi', 'keberlanjutan', 'pengelolaan', 'sumber', 'daya', 'air', 'industri', 'air', 'minum', 'kemasan', 'naskah', 'desain', 'asep', 'suherman']</t>
  </si>
  <si>
    <t>KecelakaanÂ beruntunÂ melibatkan sebuah truk, minibus hingga sepedaÂ motorÂ terjadi di Jalan Raya jurusan Bandung-Subang, Kampung Cileleuy, Desa Gunungtua, Kecamatan Cijambe, Kabupaten Subang, Kamis 9 Oktober 2025 siang. AkibatnyaÂ tiga orangÂ meninggalÂ duniaÂ di lokasi kejadian.
Kabid Humas Polda Jawa Barat Kombes Pol Hendra Rochmawan mengatakan, kecelakaan beruntun melibatkanÂ trukÂ tronton, minibus Avanza, pick up, minibus Swift, minibus Calya, dan sepeda motor PCX. Akibat kejadian tersebut, tiga orang menjadi korbanÂ meninggalÂ dunia. â€œTiga orang penumpang pick up Minah, Nuriah, Imih meninggal dunia,â€ ujar Hendra, Kamis 9 Oktober 2025.
Sedangkan sopirnya, ia menuturkan Endang Sunarya dan tiga orang penumpang Nurhasanah, Elis Roahaeti dan Putri Kaila mengalami luka-luka. Sementara pengendara PCX Aah Kurnaningsih dan penumpangnya Ida mengalami luka dan dibawa ke RSUD Ciereng Subang.
Ia menuturkan, kendaraan yang terlibatÂ kecelakaanÂ diamankan ke kantor kepolisian Polres Subang. Sedangkan mereka yang mengalami luka ringan lima orang. Hendra mengatakan trukÂ trontonÂ yang dikemudikan D bermuatan air mineral Aqua datang dari arah selatan Bandung menuju Utara Subang. Saat melaju di jalan menurun menabrak bagian belakangÂ minibusÂ Avanza yang dikemudikan DJ. Kemudian truk tronton menabrak kendaraan yang dikemudikan Didin dan menabrak pick up yang membawa 8 orang penumpang.
Selanjutnya pick up menabrak minibus Swift kemudian menabrak PCX. Kemudian tronton menabrak minibus Calya. Ia mengatakan petugas sudah melakukan olah tempat kejadian perkara, memeriksa sejumlah saksi dan mengamankan barang bukti. Serta mengevakuasi korban.
Reporter: M. Fauzi Ridwan 
Produser: Eko Supriyadi
Kreator: Hirzi
#Republika #CekRepublikaAja</t>
  </si>
  <si>
    <t>https://www.instagram.com/reel/DPlgAhJEnJD/</t>
  </si>
  <si>
    <t>kecelakaan beruntun melibatkan truk minibus sepeda motor jalan raya jurusan bandungsubang kampung cileleuy desa gunungtua kecamatan cijambe kabupaten subang kamis oktober siang akibatnya orang meninggal dunia lokasi kejadian kabid humas polda jawa barat kombes pol hendra rochmawan kecelakaan beruntun melibatkan truk tronton minibus avanza pick up minibus swift minibus calya sepeda motor pcx akibat kejadian orang korban meninggal dunia orang penumpang pick up minah nuriah imih meninggal dunia hendra kamis oktober sopirnya endang sunarya orang penumpang nurhasanah elis roahaeti putri kaila mengalami lukaluka pengendara pcx aah kurnaningsih penumpangnya ida mengalami luka dibawa rsud ciereng subang kendaraan terlibat kecelakaan diamankan kantor kepolisian polres subang mengalami luka ringan orang hendra truk tronton dikemudikan d bermuatan air mineral aqua arah selatan bandung utara subang melaju jalan menurun menabrak minibus avanza dikemudikan dj truk tronton menabrak kendaraan dikemudikan didin menabrak pick up membawa orang penumpang pick up menabrak minibus swift menabrak pcx tronton menabrak minibus calya petugas olah kejadian perkara memeriksa saksi mengamankan barang bukti mengevakuasi korban reporter m fauzi ridwan produser eko supriyadi kreator hirzi</t>
  </si>
  <si>
    <t>['republika', 'cekrepublikaaja']</t>
  </si>
  <si>
    <t>['kecelakaan', 'beruntun', 'melibatkan', 'truk', 'minibus', 'sepeda', 'motor', 'jalan', 'raya', 'jurusan', 'bandungsubang', 'kampung', 'cileleuy', 'desa', 'gunungtua', 'kecamatan', 'cijambe', 'kabupaten', 'subang', 'kamis', 'oktober', 'siang', 'akibatnya', 'orang', 'meninggal', 'dunia', 'lokasi', 'kejadian', 'kabid', 'humas', 'polda', 'jawa', 'barat', 'kombes', 'pol', 'hendra', 'rochmawan', 'kecelakaan', 'beruntun', 'melibatkan', 'truk', 'tronton', 'minibus', 'avanza', 'pick', 'up', 'minibus', 'swift', 'minibus', 'calya', 'sepeda', 'motor', 'pcx', 'akibat', 'kejadian', 'orang', 'korban', 'meninggal', 'dunia', 'orang', 'penumpang', 'pick', 'up', 'minah', 'nuriah', 'imih', 'meninggal', 'dunia', 'hendra', 'kamis', 'oktober', 'sopirnya', 'endang', 'sunarya', 'orang', 'penumpang', 'nurhasanah', 'elis', 'roahaeti', 'putri', 'kaila', 'mengalami', 'lukaluka', 'pengendara', 'pcx', 'aah', 'kurnaningsih', 'penumpangnya', 'ida', 'mengalami', 'luka', 'dibawa', 'rsud', 'ciereng', 'subang', 'kendaraan', 'terlibat', 'kecelakaan', 'diamankan', 'kantor', 'kepolisian', 'polres', 'subang', 'mengalami', 'luka', 'ringan', 'orang', 'hendra', 'truk', 'tronton', 'dikemudikan', 'd', 'bermuatan', 'air', 'mineral', 'aqua', 'arah', 'selatan', 'bandung', 'utara', 'subang', 'melaju', 'jalan', 'menurun', 'menabrak', 'minibus', 'avanza', 'dikemudikan', 'dj', 'truk', 'tronton', 'menabrak', 'kendaraan', 'dikemudikan', 'didin', 'menabrak', 'pick', 'up', 'membawa', 'orang', 'penumpang', 'pick', 'up', 'menabrak', 'minibus', 'swift', 'menabrak', 'pcx', 'tronton', 'menabrak', 'minibus', 'calya', 'petugas', 'olah', 'kejadian', 'perkara', 'memeriksa', 'saksi', 'mengamankan', 'barang', 'bukti', 'mengevakuasi', 'korban', 'reporter', 'm', 'fauzi', 'ridwan', 'produser', 'eko', 'supriyadi', 'kreator', 'hirzi']</t>
  </si>
  <si>
    <t>Gubernur Jawa Barat Dedi Mulyadi diketahui baru saja melakukan sidak ke pabrik air mineral Aqua di Kabupaten Subang pada Selasa, 21 Oktober 2025.
Dalam kunjungan itu, Dedi menemukan fakta mengejutkan, air Aqua ternyata berasal dari sumur bor dalam, bukan dari mata air pegunungan seperti yang selama ini diyakini masyarakat.
Temuan ini langsung menjadi perbincangan hangat di media sosial. Banyak konsumen merasa kecewa karena merasa tertipu dengan klaim â€œair pegununganâ€ yang selama ini digunakan dalam promosi Aqua. Beberapa bahkan melayangkan protes melalui video yang mereka unggah di media sosial.
Menanggapi viralnya temuan tersebut, manajemen Danone selaku produsen Aqua menegaskan, air Aqua berasal dari sumber air pegunungan yang terlindungi, bukan dari air permukaan.
Danone juga menjelaskan bahwa air diambil dari akuifer dalam dengan kedalaman 60â€“140 meter, bukan dari air tanah dangkal.
#DediMulyadi
#AquadariSumurBor
#Danone
Selengkapnya di Ayobandung.com (link di bio)
Reporter: Dina Miladina Dewimulyani</t>
  </si>
  <si>
    <t>AYOBANDUNG.COM</t>
  </si>
  <si>
    <t>https://www.instagram.com/reel/DQJHfXAk04p/</t>
  </si>
  <si>
    <t>gubernur jawa barat dedi mulyadi sidak pabrik air mineral aqua kabupaten subang selasa oktober kunjungan dedi menemukan fakta mengejutkan air aqua berasal sumur bor mata air pegunungan diyakini masyarakat temuan langsung perbincangan hangat media sosial konsumen kecewa tertipu klaim air pegunungan promosi aqua melayangkan protes video unggah media sosial menanggapi viralnya temuan manajemen danone produsen aqua air aqua berasal sumber air pegunungan terlindungi air permukaan danone air diambil akuifer kedalaman meter air tanah dangkal selengkapnya ayobandungcom link bio reporter dina miladina dewimulyani</t>
  </si>
  <si>
    <t>['dedimulyadi', 'aquadarisumurbor', 'danone']</t>
  </si>
  <si>
    <t>['gubernur', 'jawa', 'barat', 'dedi', 'mulyadi', 'sidak', 'pabrik', 'air', 'mineral', 'aqua', 'kabupaten', 'subang', 'selasa', 'oktober', 'kunjungan', 'dedi', 'menemukan', 'fakta', 'mengejutkan', 'air', 'aqua', 'berasal', 'sumur', 'bor', 'mata', 'air', 'pegunungan', 'diyakini', 'masyarakat', 'temuan', 'langsung', 'perbincangan', 'hangat', 'media', 'sosial', 'konsumen', 'kecewa', 'tertipu', 'klaim', 'air', 'pegunungan', 'promosi', 'aqua', 'melayangkan', 'protes', 'video', 'unggah', 'media', 'sosial', 'menanggapi', 'viralnya', 'temuan', 'manajemen', 'danone', 'produsen', 'aqua', 'air', 'aqua', 'berasal', 'sumber', 'air', 'pegunungan', 'terlindungi', 'air', 'permukaan', 'danone', 'air', 'diambil', 'akuifer', 'kedalaman', 'meter', 'air', 'tanah', 'dangkal', 'selengkapnya', 'ayobandungcom', 'link', 'bio', 'reporter', 'dina', 'miladina', 'dewimulyani']</t>
  </si>
  <si>
    <t>Manajemen Danone Indonesia buka suara terkait konten Dedi Mulyadi yang viral saat sidak ke pabrik AQUA.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"Bukan dari air permukaan atau air tanah dangkal," demikian pernyataan Danone.
Danone menjelaskan air dari akuifer terlindungi secara alami dan telah melalui proses seleksi serta kajian ilmiah. Sebagian titik sumber juga bersifat self-flowing atau mengalir alami.
Danone mengatakan proses itu dilakukan tim ahli dari berbagai disiplin ilmu seperti geologi, hidrogeologi, geofisika, dan mikrobiologi.
"Akuifer ini terlindungi secara alami oleh lapisan kedap air sehingga bebas dari kontaminasi aktivitas manusia dan tidak mengganggu penggunaan air masyarakat," ucap Danone.
Perusahaan juga menyatakan setiap penentuan titik sumber air Aqua telah melewati kajian dampak terhadap lingkungan dan masyarakat.
Mereka berkata hasil studi hidrogeologi dari Universitas Gadjah Mada (UGM) dan Universitas Padjadjaran (Unpad) yang mengonfirmasi sumber air AQUA tidak bersinggungan dengan air yang digunakan masyarakat.</t>
  </si>
  <si>
    <t>168946383306152_1391165973016919</t>
  </si>
  <si>
    <t>https://www.facebook.com/454376193362573/posts/1391165973016919</t>
  </si>
  <si>
    <t>manajemen danone indonesia buka suara terkait konten dedi mulyadi viral sidak pabrik aqua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air permukaan air tanah dangkal pernyataan danone danone air akuifer terlindungi alami proses seleksi kajian ilmiah titik sumber bersifat selfflowing mengalir alami danone proses tim ahli disiplin ilmu geologi hidrogeologi geofisika mikrobiologi akuifer terlindungi alami lapisan kedap air bebas kontaminasi aktivitas manusia mengganggu penggunaan air masyarakat danone perusahaan penentuan titik sumber air aqua melewati kajian dampak lingkungan masyarakat hasil studi hidrogeologi universitas gadjah mada ugm universitas padjadjaran unpad mengonfirmasi sumber air aqua bersinggungan air masyarakat</t>
  </si>
  <si>
    <t>['manajemen', 'danone', 'indonesia', 'buka', 'suara', 'terkait', 'konten', 'dedi', 'mulyadi', 'viral', 'sidak', 'pabrik', 'aqua',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'air', 'permukaan', 'air', 'tanah', 'dangkal', 'pernyataan', 'danone', 'danone', 'air', 'akuifer', 'terlindungi', 'alami', 'proses', 'seleksi', 'kajian', 'ilmiah', 'titik', 'sumber', 'bersifat', 'selfflowing', 'mengalir', 'alami', 'danone', 'proses', 'tim', 'ahli', 'disiplin', 'ilmu', 'geologi', 'hidrogeologi', 'geofisika', 'mikrobiologi', 'akuifer', 'terlindungi', 'alami', 'lapisan', 'kedap', 'air', 'bebas', 'kontaminasi', 'aktivitas', 'manusia', 'mengganggu', 'penggunaan', 'air', 'masyarakat', 'danone', 'perusahaan', 'penentuan', 'titik', 'sumber', 'air', 'aqua', 'melewati', 'kajian', 'dampak', 'lingkungan', 'masyarakat', 'hasil', 'studi', 'hidrogeologi', 'universitas', 'gadjah', 'mada', 'ugm', 'universitas', 'padjadjaran', 'unpad', 'mengonfirmasi', 'sumber', 'air', 'aqua', 'bersinggungan', 'air', 'masyarakat']</t>
  </si>
  <si>
    <t>Fakta baru terungkap di balik tragedi ledakan kapal Federal II di galangan PT ASL Shipyard, Batam, yang menewaskan 13 pekerja. Dugaan kuat, tangki kapal belum menjalani tank cleaning sebelum pengelasan dilakukan. â€œItu masih kerak minyak, belum dibersihkan. Tapi bukannya disuruh stop kerja, malah disuruh standby air di botol Aqua,â€ ungkap salah satu pekerja tim Rotary.
Diduga, pekerjaan hot work tetap dilakukan di area berisiko hingga memicu ledakan hebat pada Rabu (15/10/2025)pagi. Kasat Reskrim Polresta Barelang Kompol Debby Tri Andrestian menyebut pihaknya masih mendalami dugaan kelalaian. â€œKami kumpulkan semua informasi, termasuk kemungkinan belum dilakukan tank cleaning,â€ ujarnya. Kapolda Kepri Irjen Pol Asep Safrudin menegaskan, â€œJika terbukti ada kelalaian yang menyebabkan korban jiwa, akan kami proses sesuai hukum.â€</t>
  </si>
  <si>
    <t>2906876289384922_1407322951393673</t>
  </si>
  <si>
    <t>https://www.facebook.com/reel/1148460690068082/</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</si>
  <si>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Source: YT/kangdedimulyadichannel</t>
  </si>
  <si>
    <t>TEROPONG MAKASSAR</t>
  </si>
  <si>
    <t>https://www.instagram.com/reel/DQIgVehEjiD/</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</si>
  <si>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</si>
  <si>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t>
  </si>
  <si>
    <t>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
Salah satu pemilik warung makan di Kota Malang, Tiamah, mengungkapkan bahwa permintaan konsumen terhadap Aqua memang sudah berkurang jauh, bahkan sebelum muncul isu sumur bor itu.
â€œJarang sekarang saya ambil merek Aqua, soalnya sudah jarang yang mau beli. Biasanya sekarang orang lebih suka Le Minerale, Cleo, atau yang baru itu, Aquiviva (merek lain air mineral),â€ ujar Tiamah, Minggu (26/10/2025).
Sementara itu, salah satu konsumen di Kota Malang, Abel, mengaku sudah lama tidak membeli Aqua. Ia menilai informasi yang beredar di media sosial tentang penggunaan air sumur bor membuatnya makin enggan membeli produk tersebut.
â€œSaya dari dulu memang jarang beli Aqua, lebih suka Le Minerale atau Cleo. Tapi setelah tahu dari medsos kalau Aqua katanya dari sumur bor, ya makin gak mau beli,â€ kata Abel.
KALIAN TIM AIR MINERAL MEREK APA REK?
Sumber: TIMES INDONESIA</t>
  </si>
  <si>
    <t>PANORAMA MALANG</t>
  </si>
  <si>
    <t>https://www.instagram.com/p/DQUJr8zkp9b/</t>
  </si>
  <si>
    <t>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salah konsumen kota malang abel mengaku membeli aqua menilai informasi beredar media sosial penggunaan air sumur bor membuatnya enggan membeli produk jarang beli aqua suka le minerale cleo medsos aqua sumur bor ya gak beli abel tim air mineral merek rek sumber times indonesia</t>
  </si>
  <si>
    <t>['isu',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'salah', 'konsumen', 'kota', 'malang', 'abel', 'mengaku', 'membeli', 'aqua', 'menilai', 'informasi', 'beredar', 'media', 'sosial', 'penggunaan', 'air', 'sumur', 'bor', 'membuatnya', 'enggan', 'membeli', 'produk', 'jarang', 'beli', 'aqua', 'suka', 'le', 'minerale', 'cleo', 'medsos', 'aqua', 'sumur', 'bor', 'ya', 'gak', 'beli', 'abel', 'tim', 'air', 'mineral', 'merek', 'rek', 'sumber', 'times', 'indonesia']</t>
  </si>
  <si>
    <t>Jagat maya tengah ramai memperbincangkan video sidak yang dilakukan oleh Gubernur Jawa Barat, Dedi Mulyadi, ke salah satu pabrik air mineral di Subang, Jawa Barat.
Dalam video yang viral di media sosial itu, Dedi, yang akrab disapa KDM, mempertanyakan klaim iklan â€˜air pegunungan alamiâ€™ yang selama ini menjadi identitas kuat merek air mineral dalam kemasan (AMDK) terbesar di Indonesia tersebut.
Awalnya, KDM mempersoalkan jalan provinsi yang digunakan oleh perusahaan. â€œJalan yang bagus dibangun provinsi tiap hari, ini hanya akan membahagiakan PT AQUA,â€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 Kang Dedi Mulyadi
??: Jawa Post
Mau kirim berita ? Silahkan DM /  WA : 0812-4959-2946
#infomalangan</t>
  </si>
  <si>
    <t>https://www.instagram.com/p/DQIzdCdEkBk/</t>
  </si>
  <si>
    <t>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kang dedi mulyadi jawa post kirim berita silahkan dm wa</t>
  </si>
  <si>
    <t>['jagat',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'kang', 'dedi', 'mulyadi', 'jawa', 'post', 'kirim', 'berita', 'silahkan', 'dm', 'wa']</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</si>
  <si>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â€œBanyak masyarakat mengira air kemasan ini murni dari mata air alami. Faktanya, sebagian besar berasal dari sumur bor yang mengambil air tanah purba,â€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1â€“3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
Bagaimana menurut wargi Cimahi ?
#cimahibanget #cimahigaul</t>
  </si>
  <si>
    <t>Cimahi Banget</t>
  </si>
  <si>
    <t>https://www.instagram.com/p/DQIs5MoCYb1/</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</si>
  <si>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wargi cimahi</t>
  </si>
  <si>
    <t>['cimahibanget', 'cimahigaul']</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</si>
  <si>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'wargi', 'cimahi']</t>
  </si>
  <si>
    <t>Banyak netizen menunding sumber air Aqua tak sesuai klaim air pegunungan karena berasal dari sumur bor. Pakar UGM menyebut air pegunungan tak harus dari gunung.</t>
  </si>
  <si>
    <t>detikcom</t>
  </si>
  <si>
    <t>374777242078_1354949070007672</t>
  </si>
  <si>
    <t>https://www.facebook.com/362676525901603/posts/1354949070007672</t>
  </si>
  <si>
    <t>netizen menunding sumber air aqua sesuai klaim air pegunungan berasal sumur bor pakar ugm menyebut air pegunungan gunung</t>
  </si>
  <si>
    <t>['netizen', 'menunding', 'sumber', 'air', 'aqua', 'sesuai', 'klaim', 'air', 'pegunungan', 'berasal', 'sumur', 'bor', 'pakar', 'ugm', 'menyebut', 'air', 'pegunungan', 'gunung']</t>
  </si>
  <si>
    <t>Dua remaja di Kota Tegal, Jawa Tengah, hilang tenggelam di Sungai Gung, Kamis 16 Oktober 2025). Insiden tersebut terjadi saat keduanya sedang membuat konten melompat dari jembatan kemudian terjun ke sungai.
Mereka bernama Septian Wahyu R (16 tahun) asal Tegalsari, Kecamatan Tegal Barat, dan Nata Qolbi Hidayat (16 tahun) asal Panggung Kecamatan Tegal Timur. Insiden yang menimpa keduanya terjadi pada Kamis sore sekitar pukul 15:30 WIB.Â 
Septian, Nata, dan ketiga temannya hendak membuat konten melompat dari jembatan kemudian terjun ke Sungai Gung. Septian dan Nata melompat, sedangkan tiga temannya berkumpul di tepi sungai sambil merekam aksi mereka.Â 
Setelah melompat dan terjun ke sungai, Septian dan Nata ternyata tampak tak bisa berenang. Keduanya kemudian perlahan-lahan tenggelam.
Ketiga temannya yang berada di tepi sungai dilanda kepanikan. Mereka tidak berani menolong karena tak mahir berenang.Â  
Ketiganya lantas mencari pertolongan ke warga sekitar. Warga kemudian menginformasikan kejadian tersebut ke Unit Siaga SAR (USS) Pemalang Kantor SAR Semarang.Â 
â€œPukul 17:45 WIB kami menerima informasi adanya kejadian orang tenggelam dan langsung kami kirimkan satu tim dari USS Pemalang dilengkapi peralatan selam dan juga aqua eye untuk melakukan pencarian,â€ kata Kepala Basarnas Kantor SAR Semarang, Budiono.
Saat tiba di lokasi, Basarnas dan tim SAR gabungan segera melakukan pencarian korban. Mereka menyelam di sekitar lokasi Septian dan Nata melompat dari jenbatan. Namun hingga pukul 22:00 WIB, keduanya belum berhasil ditemukan.
â€œTim terkendala dengan banyaknya palung dan juga penerangan yang minim. Operasi SAR sementara kami hentikan dan akan kami lanjutkan besok pagi,â€ ujar Budiono.Â 
Kreator: Hirzi 
Produser: Ronggo Astungkoro 
#CekRepublikaAja #Republika</t>
  </si>
  <si>
    <t>https://www.instagram.com/reel/DP77fTWEuMd/</t>
  </si>
  <si>
    <t>remaja kota tegal jawa hilang tenggelam sungai gung kamis oktober insiden konten melompat jembatan terjun sungai bernama septian wahyu r tegalsari kecamatan tegal barat nata qolbi hidayat panggung kecamatan tegal timur insiden menimpa kamis sore wib septian nata ketiga temannya konten melompat jembatan terjun sungai gung septian nata melompat temannya berkumpul tepi sungai merekam aksi melompat terjun sungai septian nata berenang perlahanlahan tenggelam ketiga temannya tepi sungai dilanda kepanikan berani menolong mahir berenang ketiganya lantas mencari pertolongan warga warga menginformasikan kejadian unit siaga sar uss pemalang kantor sar semarang wib menerima informasi kejadian orang tenggelam langsung kirimkan tim uss pemalang dilengkapi peralatan selam aqua eye pencarian kepala basarnas kantor sar semarang budiono lokasi basarnas tim sar gabungan pencarian korban menyelam lokasi septian nata melompat jenbatan wib berhasil ditemukan tim terkendala banyaknya palung penerangan minim operasi sar hentikan lanjutkan besok pagi budiono kreator hirzi produser ronggo astungkoro</t>
  </si>
  <si>
    <t>['cekrepublikaaja', 'republika']</t>
  </si>
  <si>
    <t>['remaja', 'kota', 'tegal', 'jawa', 'hilang', 'tenggelam', 'sungai', 'gung', 'kamis', 'oktober', 'insiden', 'konten', 'melompat', 'jembatan', 'terjun', 'sungai', 'bernama', 'septian', 'wahyu', 'r', 'tegalsari', 'kecamatan', 'tegal', 'barat', 'nata', 'qolbi', 'hidayat', 'panggung', 'kecamatan', 'tegal', 'timur', 'insiden', 'menimpa', 'kamis', 'sore', 'wib', 'septian', 'nata', 'ketiga', 'temannya', 'konten', 'melompat', 'jembatan', 'terjun', 'sungai', 'gung', 'septian', 'nata', 'melompat', 'temannya', 'berkumpul', 'tepi', 'sungai', 'merekam', 'aksi', 'melompat', 'terjun', 'sungai', 'septian', 'nata', 'berenang', 'perlahanlahan', 'tenggelam', 'ketiga', 'temannya', 'tepi', 'sungai', 'dilanda', 'kepanikan', 'berani', 'menolong', 'mahir', 'berenang', 'ketiganya', 'lantas', 'mencari', 'pertolongan', 'warga', 'warga', 'menginformasikan', 'kejadian', 'unit', 'siaga', 'sar', 'uss', 'pemalang', 'kantor', 'sar', 'semarang', 'wib', 'menerima', 'informasi', 'kejadian', 'orang', 'tenggelam', 'langsung', 'kirimkan', 'tim', 'uss', 'pemalang', 'dilengkapi', 'peralatan', 'selam', 'aqua', 'eye', 'pencarian', 'kepala', 'basarnas', 'kantor', 'sar', 'semarang', 'budiono', 'lokasi', 'basarnas', 'tim', 'sar', 'gabungan', 'pencarian', 'korban', 'menyelam', 'lokasi', 'septian', 'nata', 'melompat', 'jenbatan', 'wib', 'berhasil', 'ditemukan', 'tim', 'terkendala', 'banyaknya', 'palung', 'penerangan', 'minim', 'operasi', 'sar', 'hentikan', 'lanjutkan', 'besok', 'pagi', 'budiono', 'kreator', 'hirzi', 'produser', 'ronggo', 'astungkoro']</t>
  </si>
  <si>
    <t>Let the sunlight be your spotlight âœ¨âœ¨
Buat aku yang sering di luar ruangan, sunscreen udah kayak bestie setiap hari ????
Aku pakai id.biore UV Aqua Rich Watery Essence SPF 50+ PA++++, sunscreen no.1 dari Jepang yang punya High Protection &amp; Light Texture in one product.
Teksturnya super ringan, cepat nyerap, gak whitecast sama sekali â€” dan ada Hyaluronic Acid + Royal Jelly Extract biar kulit tetep lembap &amp; sehat ??
#HighProtectionLightTexture #BioreUVAquaRich #SunlightIsYourSpotlight</t>
  </si>
  <si>
    <t>MerdiOctav Sahetapy</t>
  </si>
  <si>
    <t>https://www.instagram.com/reel/DQMIEx9kplK/</t>
  </si>
  <si>
    <t>let the sunlight be your spotlight ruangan sunscreen udah kayak bestie pakai idbiore uv aqua rich watery essence spf pa sunscreen no jepang high protection light texture in one product teksturnya super ringan cepat nyerap gak whitecast hyaluronic acid royal jelly extract biar kulit tetep lembap sehat</t>
  </si>
  <si>
    <t>['highprotectionlighttexture', 'bioreuvaquarich', 'sunlightisyourspotlight']</t>
  </si>
  <si>
    <t>['let', 'the', 'sunlight', 'be', 'your', 'spotlight', 'ruangan', 'sunscreen', 'udah', 'kayak', 'bestie', 'pakai', 'idbiore', 'uv', 'aqua', 'rich', 'watery', 'essence', 'spf', 'pa', 'sunscreen', 'no', 'jepang', 'high', 'protection', 'light', 'texture', 'in', 'one', 'product', 'teksturnya', 'super', 'ringan', 'cepat', 'nyerap', 'gak', 'whitecast', 'hyaluronic', 'acid', 'royal', 'jelly', 'extract', 'biar', 'kulit', 'tetep', 'lembap', 'sehat']</t>
  </si>
  <si>
    <t>Sekitar pukul 1 siang hari ini telah terjadi tumpahan oli di kawasan atau jalan Jombang raya pondok Pucung titik kenal depan gudang Aqua Tangsel .
yang mengakibatkan terjadinya terjatuhnya pengendara kendaraan roda dua .
â€œlaporan warga damkar kota Tangerang selatan merespon,dan menerjunkan 1 unit untuk menyemprotkan tumpahan oli di jalan sampai selesai pembersihan bersama REDKAR, BPDB , KARANG TARUNA PD ARENâ€ 
Minggu 19 Oktober 
Via : namaakuu28</t>
  </si>
  <si>
    <t>Kabar Ciledug</t>
  </si>
  <si>
    <t>https://www.instagram.com/reel/DP_A3E3Eoq8/</t>
  </si>
  <si>
    <t>siang tumpahan oli kawasan jalan jombang raya pondok pucung titik kenal gudang aqua tangsel mengakibatkan terjatuhnya pengendara kendaraan roda laporan warga damkar kota tangerang selatan merespondan menerjunkan unit menyemprotkan tumpahan oli jalan selesai pembersihan redkar bpdb karang taruna pd aren minggu oktober via namaakuu</t>
  </si>
  <si>
    <t>['siang', 'tumpahan', 'oli', 'kawasan', 'jalan', 'jombang', 'raya', 'pondok', 'pucung', 'titik', 'kenal', 'gudang', 'aqua', 'tangsel', 'mengakibatkan', 'terjatuhnya', 'pengendara', 'kendaraan', 'roda', 'laporan', 'warga', 'damkar', 'kota', 'tangerang', 'selatan', 'merespondan', 'menerjunkan', 'unit', 'menyemprotkan', 'tumpahan', 'oli', 'jalan', 'selesai', 'pembersihan', 'redkar', 'bpdb', 'karang', 'taruna', 'pd', 'aren', 'minggu', 'oktober', 'via', 'namaakuu']</t>
  </si>
  <si>
    <t>Produsen air minum dalam kemasan (AMDK) Aqua, PT Tirta Investama, segera merilis klarifikasi resmi menyusul viralnya video kunjungan Gubernur Jawa Barat Dedi Mulyadi (KDM) ke pabrik mereka di Subang. Klarifikasi ini bertujuan meluruskan informasi yang beredar di media sosial yang menyebut Aqua menggunakan 'air dari sumur bor biasa' alih-alih air pegunungan, serta menyoroti isu pajak dan dampak lingkungan.
Dalam video terbarunya, KDM sempat terkejut saat mengetahui sumber air Aqua berasal dari empat sumur sedalam lebih dari 100 meter, yang selama ini dipahaminya sebagai 'air permukaan'.
Menanggapi temuan tersebut, Aqua membantah keras tuduhan menggunakan sumur bor biasa. Perusahaan menegaskan bahwa mereka mengambil air dari akuifer dalam yang merupakan bagian tak terpisahkan dari sistem hidrogeologi pegunungan. Sumber air ini, diklaim Aqua, terlindungi secara alami dan telah melalui proses seleksi serta kajian ilmiah mendalam oleh para ahli dari UGM dan Unpad.
Aqua juga meyakinkan publik bahwa pengambilan air tidak mengganggu sumber air masyarakat karena berasal dari lapisan yang terpisah dan tidak bersinggungan dengan air permukaan yang digunakan warga. Proses ekstraksi ini dilakukan sesuai izin pemerintah dan diawasi secara berkala oleh instansi terkait, seperti Badan Geologi Kementerian ESDM.
Selain menjamin operasinya tidak menyebabkan pergeseran tanah atau longsor berdasarkan kajian bersama UGM, perusahaan menyatakan aktif menjalankan konservasi lingkungan.
Terkait isu regulasi, Aqua menegaskan komitmen penuh pada transparansi dan integritas. Perusahaan menyatakan telah mengantongi SIPA (Surat Izin Pengusahaan Air Tanah), hanya mengambil air sesuai dengan kuota yang ditetapkan, dan volume air yang diambil dilaporkan secara transparan serta diaudit oleh pemerintah.
Aqua juga menyatakan secara konsisten dan transparan memenuhi seluruh kewajiban perpajakan dan retribusi atas pengambilan air sesuai dengan peraturan yang berlaku, dengan pembayaran dilakukan secara resmi di Direktorat Jenderal Pajak.
#kdm #dedimulyadi #aqua #majalengka #infomjlk #mjlk #medianaurangmajalengka #jawabarat #indonesia</t>
  </si>
  <si>
    <t>MAJALENGKA</t>
  </si>
  <si>
    <t>https://www.instagram.com/p/DQJPIRLElB7/</t>
  </si>
  <si>
    <t>produsen air minum kemasan amdk aqua pt tirta investama merilis klarifikasi resmi menyusul viralnya video kunjungan gubernur jawa barat dedi mulyadi kdm pabrik subang klarifikasi bertujuan meluruskan informasi beredar media sosial menyebut aqua air sumur bor alihalih air pegunungan menyoroti isu pajak dampak lingkungan video terbarunya kdm terkejut sumber air aqua berasal sumur sedalam meter dipahaminya air permukaan menanggapi temuan aqua membantah keras tuduhan sumur bor perusahaan mengambil air akuifer terpisahkan sistem hidrogeologi pegunungan sumber air diklaim aqua terlindungi alami proses seleksi kajian ilmiah mendalam ahli ugm unpad aqua publik pengambilan air mengganggu sumber air masyarakat berasal lapisan terpisah bersinggungan air permukaan warga proses ekstraksi sesuai izin pemerintah diawasi berkala instansi terkait badan geologi kementerian esdm menjamin operasinya menyebabkan pergeseran tanah longsor berdasarkan kajian ugm perusahaan aktif menjalankan konservasi lingkungan terkait isu regulasi aqua komitmen penuh transparansi integritas perusahaan mengantongi sipa surat izin pengusahaan air tanah mengambil air sesuai kuota ditetapkan volume air diambil dilaporkan transparan diaudit pemerintah aqua konsisten transparan memenuhi kewajiban perpajakan retribusi pengambilan air sesuai peraturan berlaku pembayaran resmi direktorat jenderal pajak</t>
  </si>
  <si>
    <t>['kdm', 'dedimulyadi', 'aqua', 'majalengka', 'infomjlk', 'mjlk', 'medianaurangmajalengka', 'jawabarat', 'indonesia']</t>
  </si>
  <si>
    <t>['produsen', 'air', 'minum', 'kemasan', 'amdk', 'aqua', 'pt', 'tirta', 'investama', 'merilis', 'klarifikasi', 'resmi', 'menyusul', 'viralnya', 'video', 'kunjungan', 'gubernur', 'jawa', 'barat', 'dedi', 'mulyadi', 'kdm', 'pabrik', 'subang', 'klarifikasi', 'bertujuan', 'meluruskan', 'informasi', 'beredar', 'media', 'sosial', 'menyebut', 'aqua', 'air', 'sumur', 'bor', 'alihalih', 'air', 'pegunungan', 'menyoroti', 'isu', 'pajak', 'dampak', 'lingkungan', 'video', 'terbarunya', 'kdm', 'terkejut', 'sumber', 'air', 'aqua', 'berasal', 'sumur', 'sedalam', 'meter', 'dipahaminya', 'air', 'permukaan', 'menanggapi', 'temuan', 'aqua', 'membantah', 'keras', 'tuduhan', 'sumur', 'bor', 'perusahaan', 'mengambil', 'air', 'akuifer', 'terpisahkan', 'sistem', 'hidrogeologi', 'pegunungan', 'sumber', 'air', 'diklaim', 'aqua', 'terlindungi', 'alami', 'proses', 'seleksi', 'kajian', 'ilmiah', 'mendalam', 'ahli', 'ugm', 'unpad', 'aqua', 'publik', 'pengambilan', 'air', 'mengganggu', 'sumber', 'air', 'masyarakat', 'berasal', 'lapisan', 'terpisah', 'bersinggungan', 'air', 'permukaan', 'warga', 'proses', 'ekstraksi', 'sesuai', 'izin', 'pemerintah', 'diawasi', 'berkala', 'instansi', 'terkait', 'badan', 'geologi', 'kementerian', 'esdm', 'menjamin', 'operasinya', 'menyebabkan', 'pergeseran', 'tanah', 'longsor', 'berdasarkan', 'kajian', 'ugm', 'perusahaan', 'aktif', 'menjalankan', 'konservasi', 'lingkungan', 'terkait', 'isu', 'regulasi', 'aqua', 'komitmen', 'penuh', 'transparansi', 'integritas', 'perusahaan', 'mengantongi', 'sipa', 'surat', 'izin', 'pengusahaan', 'air', 'tanah', 'mengambil', 'air', 'sesuai', 'kuota', 'ditetapkan', 'volume', 'air', 'diambil', 'dilaporkan', 'transparan', 'diaudit', 'pemerintah', 'aqua', 'konsisten', 'transparan', 'memenuhi', 'kewajiban', 'perpajakan', 'retribusi', 'pengambilan', 'air', 'sesuai', 'peraturan', 'berlaku', 'pembayaran', 'resmi', 'direktorat', 'jenderal', 'pajak']</t>
  </si>
  <si>
    <t>It takes a whole village! ??????
(Mumbai, mumbai metro, mumbai metro aqua line, mumbai city, mumbai news, metro inauguration, mumbai metro line 3, aqua line)</t>
  </si>
  <si>
    <t>What's Hot Mumbai</t>
  </si>
  <si>
    <t>https://www.instagram.com/p/DPnpW2MCGzf/</t>
  </si>
  <si>
    <t>it takes a whole village mumbai mumbai metro mumbai metro aqua line mumbai city mumbai news metro inauguration mumbai metro line aqua line</t>
  </si>
  <si>
    <t>['it', 'takes', 'a', 'whole', 'village', 'mumbai', 'mumbai', 'metro', 'mumbai', 'metro', 'aqua', 'line', 'mumbai', 'city', 'mumbai', 'news', 'metro', 'inauguration', 'mumbai', 'metro', 'line', 'aqua', 'line']</t>
  </si>
  <si>
    <t>Konten video di kanal YouTube Kang Dedi Mulyadi Channel (KDM) viral disorot publik. Dalam video tersebut, Gubernur Jawa Barat itu melakukan kunjungan ke salah satu lokasi pengolahan air mineral Aqua dan menanyakan langsung sumber air yang digunakan perusahaan tersebut.
Dalam tayangan itu, Dedi menanyakan apakah air yang digunakan berasal dari sungai atau mata air permukaan.
"Ngambil airnya dari sungai?" tanya Dedi.
"Airnya dari bawah tanah, Pak," jawab salah satu staf perusahaan.
Dedi kemudian tampak terkejut dan memastikan ulang bahwa air yang digunakan benar-benar berasal dari bawah tanah melalui proses pengeboran. Ia juga sempat mempertanyakan potensi dampak lingkungan dari pengambilan air tanah tersebut, termasuk kemungkinan pergeseran tanah.
"Dikira oleh saya dari air permukaan, dari sungai atau mata air. Berarti kategorinya sumur pompa dalam?" ujar Dedi.
Dari penjelasan pihak pabrik, diketahui kedalaman sumur bor mencapai lebih dari 100 meter.
"Berapa kedalamannya? 132 meter, ya? Yang lain 102, ada juga yang 60 meter," tanya Dedi sambil mencatat.</t>
  </si>
  <si>
    <t>KEPOIN  TRENDING</t>
  </si>
  <si>
    <t>https://www.instagram.com/p/DQIpUnMkmES/</t>
  </si>
  <si>
    <t>konten video kanal youtube kang dedi mulyadi channel kdm viral disorot publik video gubernur jawa barat kunjungan salah lokasi pengolahan air mineral aqua langsung sumber air perusahaan tayangan dedi air berasal sungai mata air permukaan ngambil airnya sungai dedi airnya tanah salah staf perusahaan dedi terkejut ulang air benarbenar berasal tanah proses pengeboran potensi dampak lingkungan pengambilan air tanah pergeseran tanah air permukaan sungai mata air kategorinya sumur pompa dedi penjelasan pabrik kedalaman sumur bor mencapai meter kedalamannya meter ya meter dedi mencatat</t>
  </si>
  <si>
    <t>['konten', 'video', 'kanal', 'youtube', 'kang', 'dedi', 'mulyadi', 'channel', 'kdm', 'viral', 'disorot', 'publik', 'video', 'gubernur', 'jawa', 'barat', 'kunjungan', 'salah', 'lokasi', 'pengolahan', 'air', 'mineral', 'aqua', 'langsung', 'sumber', 'air', 'perusahaan', 'tayangan', 'dedi', 'air', 'berasal', 'sungai', 'mata', 'air', 'permukaan', 'ngambil', 'airnya', 'sungai', 'dedi', 'airnya', 'tanah', 'salah', 'staf', 'perusahaan', 'dedi', 'terkejut', 'ulang', 'air', 'benarbenar', 'berasal', 'tanah', 'proses', 'pengeboran', 'potensi', 'dampak', 'lingkungan', 'pengambilan', 'air', 'tanah', 'pergeseran', 'tanah', 'air', 'permukaan', 'sungai', 'mata', 'air', 'kategorinya', 'sumur', 'pompa', 'dedi', 'penjelasan', 'pabrik', 'kedalaman', 'sumur', 'bor', 'mencapai', 'meter', 'kedalamannya', 'meter', 'ya', 'meter', 'dedi', 'mencatat']</t>
  </si>
  <si>
    <t>Dimana-mana bikin heboh. Terima kasih Kang Dedi Mulyadi yang membuka buanyak sekali tabir Aqua. Semoga brand mineral lokal Jawa Barat segera bertumbuh menggantikan brand brand terafiliasi.
#KDM #Buycut #Boycott #Boikot #Aqua</t>
  </si>
  <si>
    <t>https://www.instagram.com/reel/DQOEvxZEedQ/</t>
  </si>
  <si>
    <t>dimanamana bikin heboh terima kasih kang dedi mulyadi membuka buanyak tabir aqua semoga brand mineral lokal jawa barat bertumbuh menggantikan brand brand terafiliasi</t>
  </si>
  <si>
    <t>['kdm', 'buycut', 'boycott', 'boikot', 'aqua']</t>
  </si>
  <si>
    <t>['dimanamana', 'bikin', 'heboh', 'terima', 'kasih', 'kang', 'dedi', 'mulyadi', 'membuka', 'buanyak', 'tabir', 'aqua', 'semoga', 'brand', 'mineral', 'lokal', 'jawa', 'barat', 'bertumbuh', 'menggantikan', 'brand', 'brand', 'terafiliasi']</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</si>
  <si>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â€œBanyak masyarakat mengira air kemasan ini murni dari mata air alami. Faktanya, sebagian besar berasal dari sumur bor yang mengambil air tanah purba,â€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1â€“3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
Sumber : haluandotco</t>
  </si>
  <si>
    <t>Jabodetabek24info</t>
  </si>
  <si>
    <t>https://www.instagram.com/p/DQHOPIUCc1p/</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</si>
  <si>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sumber haluandotco</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</si>
  <si>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'sumber', 'haluandotco']</t>
  </si>
  <si>
    <t>Seluruh pabrik AQUA berlokasi di kaki pegunungan tempat sumber air AQUA berasal.
Sumber air AQUA yang berasal dari lapisan akuifer tertekan terhubung langsung ke pegunungan. 
Di area tersebut pula, AQUA secara aktif melakukan upaya konservasi untuk mengembalikan air lebih banyak. Hingga saat ini AQUA telah menanam lebih dari 2,6 juta pohon, 93ribu biopori, 20ribu rorak, dan banyak inisiatif lainnya.
Yuk sebarkan informasi ini untuk menghindari misinformasi lebih lanjut ????</t>
  </si>
  <si>
    <t>https://www.instagram.com/reel/DQTBRnqEhff/</t>
  </si>
  <si>
    <t>pabrik aqua berlokasi kaki pegunungan sumber air aqua berasal sumber air aqua berasal lapisan akuifer tertekan terhubung langsung pegunungan area aqua aktif upaya konservasi mengembalikan air aqua menanam juta pohon ribu biopori ribu rorak inisiatif yuk sebarkan informasi menghindari misinformasi</t>
  </si>
  <si>
    <t>['pabrik', 'aqua', 'berlokasi', 'kaki', 'pegunungan', 'sumber', 'air', 'aqua', 'berasal', 'sumber', 'air', 'aqua', 'berasal', 'lapisan', 'akuifer', 'tertekan', 'terhubung', 'langsung', 'pegunungan', 'area', 'aqua', 'aktif', 'upaya', 'konservasi', 'mengembalikan', 'air', 'aqua', 'menanam', 'juta', 'pohon', 'ribu', 'biopori', 'ribu', 'rorak', 'inisiatif', 'yuk', 'sebarkan', 'informasi', 'menghindari', 'misinformasi']</t>
  </si>
  <si>
    <t>Sidak Gubernur Jawa Barat Dedi Mulyadi ke salah satu pabrik air mineral di Subang viral di media sosial.
Pabrik air mineral itu disebut adalah pabrik air minum Aqua. Dalam video yang dibagikan di akun YouTube Dedi Mulyadi, mantan Bupati Purwarkarta itu kaget usai mengetahui sumber mata air yang diambil bukan dari pegunungan.
Melainkan bersumber dari air tanah dalam yang diambil melalui proses bor. Dedi kemudian bertanya mengenai risiko lingkungan kepada pegawai perusahaan.
Namun mereka tampak kebingungan menjawab pertanyaan Dedi. Usai video itu viral, Aqua bikin pernyataan.
Aqua memastikan sumber air mereka bukan berasal dari sumur bor biasa. Tetapi dari lapisan air tanah alami dan sudah teruji oleh para ahli.
Aqua juga memastikan bahwa pengambilan air sudah mendapat izin dari pemerintah serta tidak mengganggu sumber air masyarakat.
#dedimulyadi #demul #gubernurjawabarat #aqua #sumberair #airaqua #sidak #pabrikaqua #jawabarat #jabar #news #suaradotcom #suara</t>
  </si>
  <si>
    <t>https://www.instagram.com/reel/DQI6NLsjE-t/</t>
  </si>
  <si>
    <t>sidak gubernur jawa barat dedi mulyadi salah pabrik air mineral subang viral media sosial pabrik air mineral pabrik air minum aqua video dibagikan akun youtube dedi mulyadi mantan bupati purwarkarta kaget sumber mata air diambil pegunungan bersumber air tanah diambil proses bor dedi risiko lingkungan pegawai perusahaan kebingungan dedi video viral aqua bikin pernyataan aqua sumber air berasal sumur bor lapisan air tanah alami teruji ahli aqua pengambilan air izin pemerintah mengganggu sumber air masyarakat</t>
  </si>
  <si>
    <t>['dedimulyadi', 'demul', 'gubernurjawabarat', 'aqua', 'sumberair', 'airaqua', 'sidak', 'pabrikaqua', 'jawabarat', 'jabar', 'news', 'suaradotcom', 'suara']</t>
  </si>
  <si>
    <t>['sidak', 'gubernur', 'jawa', 'barat', 'dedi', 'mulyadi', 'salah', 'pabrik', 'air', 'mineral', 'subang', 'viral', 'media', 'sosial', 'pabrik', 'air', 'mineral', 'pabrik', 'air', 'minum', 'aqua', 'video', 'dibagikan', 'akun', 'youtube', 'dedi', 'mulyadi', 'mantan', 'bupati', 'purwarkarta', 'kaget', 'sumber', 'mata', 'air', 'diambil', 'pegunungan', 'bersumber', 'air', 'tanah', 'diambil', 'proses', 'bor', 'dedi', 'risiko', 'lingkungan', 'pegawai', 'perusahaan', 'kebingungan', 'dedi', 'video', 'viral', 'aqua', 'bikin', 'pernyataan', 'aqua', 'sumber', 'air', 'berasal', 'sumur', 'bor', 'lapisan', 'air', 'tanah', 'alami', 'teruji', 'ahli', 'aqua', 'pengambilan', 'air', 'izin', 'pemerintah', 'mengganggu', 'sumber', 'air', 'masyarakat']</t>
  </si>
  <si>
    <t>Danone Indonesia</t>
  </si>
  <si>
    <t>https://www.instagram.com/reel/DQLrREckle4/</t>
  </si>
  <si>
    <t>Menyatukan semangat dan sportivitas! ??
Haier-AQUA Badminton Regional Tournament 2025 sukses digelar di Baliâœ¨âœ¨
Bukan sekedar pertandingan, tapi ini juga ajang untuk mempererat kolaborasi antara Haier-AQUA dari 5 negara Asia. 
#AQUAElektronik #AQUASmartHome #GlobalNo1</t>
  </si>
  <si>
    <t>AQUA Elektronik</t>
  </si>
  <si>
    <t>https://www.instagram.com/reel/DP5gjQEAEMg/</t>
  </si>
  <si>
    <t>menyatukan semangat sportivitas haieraqua badminton regional tournament sukses digelar bali sekedar pertandingan ajang mempererat kolaborasi haieraqua negara asia</t>
  </si>
  <si>
    <t>['aquaelektronik', 'aquasmarthome', 'globalno1']</t>
  </si>
  <si>
    <t>['menyatukan', 'semangat', 'sportivitas', 'haieraqua', 'badminton', 'regional', 'tournament', 'sukses', 'digelar', 'bali', 'sekedar', 'pertandingan', 'ajang', 'mempererat', 'kolaborasi', 'haieraqua', 'negara', 'asia']</t>
  </si>
  <si>
    <t>Bukan dari Mata Air Pegunungan, Pabrik Aqua di Subang Kedapatan Ambil Air dari Sumur Bor
Pabrik air mineral Aqua di Kabupaten Subang, Jawa Barat saat ini tengah menjadi bahan pembicaraan masyarakat lantaran sumber air yang selama ini dijual ke masyarakat bukan dari mata air pegunungan.
Hal ini terungkap setelah Gubernur Jabar, Dedi Mulyadi melakukan inspeksi mendadak (sidak) ke PT. Tirta Investama Subang tersebut, Senin (20/10/2025) ternyata air yang didapat bersumber dari pipa bertekanan tinggi atau sumur bor sedalam 100-130 meter.
"Air ini bukan dari pegunungan seperti yang selama ini kita yakini, melainkan dari sumur bor," ujar DediAkibatnya, muncul kekhawatiran potensi dampak lingkungan dari pengambilan air tanah secara besar-besaran. Karena bisa berujung pada risiko penurunan muka tanah, longsor, hingga krisis air.Terlebih lagi ketika pihak perusahaan menjelaskan air yang diambil mencapai sekitar 2,8 juta liter per hari."Itu diperoleh secara gratis. Kalau pabrik semen, kain, otomotif, mereka harus beli bahan baku. Kalau perusahaan ini, bahan bakunya enggak beli," ucap Dedi.
Mantan Bupati Purwakarta itu menyayangkan apa yang telah dilakukan pabrik air mineral tersebut karena efeknya sangat mengkhawatirkan masyarakat.
"Jangan sampai air dari sini diangkut dan dijual mahal, sementara masyarakat sekitar kekurangan air bersih," lanjutnya.
Dirinya meminta pihak terkait agar izin pengambilan air tanah serta operasional perusahaan Aqua di wilayah tersebut ditinjau ulang. Ia menjelaskan setiap perusahaan wajib memperhatikan izin terkait pengambilan air, pelestarian lingkungan, dan tanggung jaab sosial kepada warga sekitar.
Sebelumnya, warga sekitar mengaku kerap kesulitan air terutama saat kemarau. Warga menduga perusahaan air mineral di wilayah tersebut menjadi sumber permasalahan selama ini.Â 
Artikel: Inilah.com</t>
  </si>
  <si>
    <t>MAKASSAR ZONE</t>
  </si>
  <si>
    <t>https://www.instagram.com/p/DQJB4zzkjmp/</t>
  </si>
  <si>
    <t>mata air pegunungan pabrik aqua subang kedapatan ambil air sumur bor pabrik air mineral aqua kabupaten subang jawa barat bahan pembicaraan masyarakat lantaran sumber air dijual masyarakat mata air pegunungan terungkap gubernur jabar dedi mulyadi inspeksi mendadak sidak pt tirta investama subang senin air bersumber pipa bertekanan sumur bor sedalam meter air pegunungan yakini sumur bor dediakibatnya muncul kekhawatiran potensi dampak lingkungan pengambilan air tanah besarbesaran berujung risiko penurunan muka tanah longsor krisis airterlebih perusahaan air diambil mencapai juta liter hariitu diperoleh gratis pabrik semen kain otomotif beli bahan baku perusahaan bahan bakunya beli dedi mantan bupati purwakarta menyayangkan pabrik air mineral efeknya mengkhawatirkan masyarakat air diangkut dijual mahal masyarakat kekurangan air bersih terkait izin pengambilan air tanah operasional perusahaan aqua wilayah ditinjau ulang perusahaan wajib memperhatikan izin terkait pengambilan air pelestarian lingkungan tanggung jaab sosial warga warga mengaku kerap kesulitan air kemarau warga menduga perusahaan air mineral wilayah sumber permasalahan artikel inilahcom</t>
  </si>
  <si>
    <t>['mata', 'air', 'pegunungan', 'pabrik', 'aqua', 'subang', 'kedapatan', 'ambil', 'air', 'sumur', 'bor', 'pabrik', 'air', 'mineral', 'aqua', 'kabupaten', 'subang', 'jawa', 'barat', 'bahan', 'pembicaraan', 'masyarakat', 'lantaran', 'sumber', 'air', 'dijual', 'masyarakat', 'mata', 'air', 'pegunungan', 'terungkap', 'gubernur', 'jabar', 'dedi', 'mulyadi', 'inspeksi', 'mendadak', 'sidak', 'pt', 'tirta', 'investama', 'subang', 'senin', 'air', 'bersumber', 'pipa', 'bertekanan', 'sumur', 'bor', 'sedalam', 'meter', 'air', 'pegunungan', 'yakini', 'sumur', 'bor', 'dediakibatnya', 'muncul', 'kekhawatiran', 'potensi', 'dampak', 'lingkungan', 'pengambilan', 'air', 'tanah', 'besarbesaran', 'berujung', 'risiko', 'penurunan', 'muka', 'tanah', 'longsor', 'krisis', 'airterlebih', 'perusahaan', 'air', 'diambil', 'mencapai', 'juta', 'liter', 'hariitu', 'diperoleh', 'gratis', 'pabrik', 'semen', 'kain', 'otomotif', 'beli', 'bahan', 'baku', 'perusahaan', 'bahan', 'bakunya', 'beli', 'dedi', 'mantan', 'bupati', 'purwakarta', 'menyayangkan', 'pabrik', 'air', 'mineral', 'efeknya', 'mengkhawatirkan', 'masyarakat', 'air', 'diangkut', 'dijual', 'mahal', 'masyarakat', 'kekurangan', 'air', 'bersih', 'terkait', 'izin', 'pengambilan', 'air', 'tanah', 'operasional', 'perusahaan', 'aqua', 'wilayah', 'ditinjau', 'ulang', 'perusahaan', 'wajib', 'memperhatikan', 'izin', 'terkait', 'pengambilan', 'air', 'pelestarian', 'lingkungan', 'tanggung', 'jaab', 'sosial', 'warga', 'warga', 'mengaku', 'kerap', 'kesulitan', 'air', 'kemarau', 'warga', 'menduga', 'perusahaan', 'air', 'mineral', 'wilayah', 'sumber', 'permasalahan', 'artikel', 'inilahcom']</t>
  </si>
  <si>
    <t>PURWOREJO JAWA TENGAH</t>
  </si>
  <si>
    <t>https://www.instagram.com/p/DQItu3CEziT/</t>
  </si>
  <si>
    <t>Fakta-fakta Sumber Air Aqua yang Viral Diduga dari Sumur Borâ€¼ï¸
Air mineral dalam kemasan, Aqua , tengah menjadi sorotan karena sumber airnya yang diduga berasal dari sumur bor. 
Hal tersebut bermula dari konten YouTube Gubernur Jawa Barat Dedi Mulyadi. Dalam konten tersebut, pengelola menyebut sumber air Aqua dari bawah tanah, bukan air permukaan.
Dedi lalu bertanya kembali apa benar air yang digunakan bukan udara permukaan. Ia juga bertanya lagi dari mana air tanah itu diambil.
Staf perusahaan itu juga menjawab air diambil dari dalam tanah dengan cara dibor.
Dengan muka terkejut, Dedi menegaskan lagi bahwa udara benar diambil dari dalam tanah yang dibor. Ia mengira sumber udara berasal dari udara permukaan.
Danone Pastikan Sumber Air Terlindungi
Manajemen Danone Indonesia sudah buka suara terkait konten Dedi Mulyadi tersebut. Dalam keterangan tertulisnya, Danone menyatakan bahwa sumber udara yang mereka pakai berasal dari sumber udara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"Akuifer ini terlindungi secara alami oleh lapisan kedap air sehingga bebas dari kontaminasi aktivitas manusia dan tidak mengganggu penggunaan air masyarakat," ucap Danone.
Berita : cnnindonesia.com
#infolovesuroboyo #lovesuroboyo 
#aqua #sumurbor #airmineral</t>
  </si>
  <si>
    <t>Love Suroboyo</t>
  </si>
  <si>
    <t>https://www.instagram.com/p/DQMEjtPj0Dh/</t>
  </si>
  <si>
    <t>faktafakta sumber air aqua viral diduga sumur bor air mineral kemasan aqua sorotan sumber airnya diduga berasal sumur bor konten youtube gubernur jawa barat dedi mulyadi konten pengelola menyebut sumber air aqua tanah air permukaan dedi air udara permukaan air tanah diambil staf perusahaan air diambil tanah dibor muka terkejut dedi udara diambil tanah dibor sumber udara berasal udara permukaan danone pastikan sumber air terlindungi manajemen danone indonesia buka suara terkait konten dedi mulyadi keterangan tertulisnya danone sumber udara pakai berasal sumber udara pegunungan terlindungi air aqua berasal sumber air pegunungan tersebar indonesia sumber air dipilih proses seleksi ketat melibatkan kriteria ilmiah tahapan evaluasi minimal penelitian keterangan danone danone mengakui sumber airnya berasal permukaan akuifer kedalaman meter akuifer terlindungi alami lapisan kedap air bebas kontaminasi aktivitas manusia mengganggu penggunaan air masyarakat danone berita cnnindonesiacom</t>
  </si>
  <si>
    <t>['infolovesuroboyo', 'lovesuroboyo', 'aqua', 'sumurbor', 'airmineral']</t>
  </si>
  <si>
    <t>['faktafakta', 'sumber', 'air', 'aqua', 'viral', 'diduga', 'sumur', 'bor', 'air', 'mineral', 'kemasan', 'aqua', 'sorotan', 'sumber', 'airnya', 'diduga', 'berasal', 'sumur', 'bor', 'konten', 'youtube', 'gubernur', 'jawa', 'barat', 'dedi', 'mulyadi', 'konten', 'pengelola', 'menyebut', 'sumber', 'air', 'aqua', 'tanah', 'air', 'permukaan', 'dedi', 'air', 'udara', 'permukaan', 'air', 'tanah', 'diambil', 'staf', 'perusahaan', 'air', 'diambil', 'tanah', 'dibor', 'muka', 'terkejut', 'dedi', 'udara', 'diambil', 'tanah', 'dibor', 'sumber', 'udara', 'berasal', 'udara', 'permukaan', 'danone', 'pastikan', 'sumber', 'air', 'terlindungi', 'manajemen', 'danone', 'indonesia', 'buka', 'suara', 'terkait', 'konten', 'dedi', 'mulyadi', 'keterangan', 'tertulisnya', 'danone', 'sumber', 'udara', 'pakai', 'berasal', 'sumber', 'udara', 'pegunungan', 'terlindungi', 'air', 'aqua', 'berasal', 'sumber', 'air', 'pegunungan', 'tersebar', 'indonesia', 'sumber', 'air', 'dipilih', 'proses', 'seleksi', 'ketat', 'melibatkan', 'kriteria', 'ilmiah', 'tahapan', 'evaluasi', 'minimal', 'penelitian', 'keterangan', 'danone', 'danone', 'mengakui', 'sumber', 'airnya', 'berasal', 'permukaan', 'akuifer', 'kedalaman', 'meter', 'akuifer', 'terlindungi', 'alami', 'lapisan', 'kedap', 'air', 'bebas', 'kontaminasi', 'aktivitas', 'manusia', 'mengganggu', 'penggunaan', 'air', 'masyarakat', 'danone', 'berita', 'cnnindonesiacom']</t>
  </si>
  <si>
    <t>KLARIFIKASI AQUA Usai Disidak Dedi Mulyadi dan Disebut Bersumber dari Sumur Bor, Bukan Mata Air</t>
  </si>
  <si>
    <t>101746656537875_1247390790758876</t>
  </si>
  <si>
    <t>https://www.facebook.com/360608709437093/posts/1247390790758876</t>
  </si>
  <si>
    <t>klarifikasi aqua disidak dedi mulyadi bersumber sumur bor mata air</t>
  </si>
  <si>
    <t>['klarifikasi', 'aqua', 'disidak', 'dedi', 'mulyadi', 'bersumber', 'sumur', 'bor', 'mata', 'air']</t>
  </si>
  <si>
    <t>Dedi Mulyadi Sebut Air Aqua Dari Pegunungan Bukan Sumur Bor, Akui Tak Ada Niat Menjelekkan.
Belum lama ini media sosial di hebohkan dengan sumber air yang diambil oleh Aqua.
Hal tersebut terungkap saat Gubernur Jabar Dedi Mulyadi melakukan sidak ke pabrik aqua yang berada di kawasan Subang, Jawa Barat
Kunjungan Dedi Mulyadi ke pabrik Aqua inilah yang menyita perhatian publik.
Saat sidak berlangsung ramai dugaan bahwa sumber air Aqua berasal dari sumur bor bukanlah dari pegunungan.
Tak butuh waktu lama kabar sumber air aqua dari sumur bor pun langsung viral di media sosial.
Setelah kabar ini viral, Gubernur Jabar Dedi Mulyadi pun angkat bicara. 
Gubernur Jawa Barat Dedi Mulyadi dalam kunjungan keduanya ke pabrik Aqua di Subang, mengakui jika sumber air utama yang digunakan Aqua adalah benar dari mata air pegunungan. 
BACA SELENGKAPNYA https://bangka.tribunnews.com/news/1667281/dedi-mulyadi-sebut-air-aqua-dari-pegunungan-bukan-sumur-bor-akui-tak-ada-niat-menjelekkan</t>
  </si>
  <si>
    <t>Bangka Pos</t>
  </si>
  <si>
    <t>177892288911274_1237667361724872</t>
  </si>
  <si>
    <t>https://www.facebook.com/591968369628111/posts/1237667361724872</t>
  </si>
  <si>
    <t>dedi mulyadi air aqua pegunungan sumur bor akui niat menjelekkan media sosial hebohkan sumber air diambil aqua terungkap gubernur jabar dedi mulyadi sidak pabrik aqua kawasan subang jawa barat kunjungan dedi mulyadi pabrik aqua menyita perhatian publik sidak ramai dugaan sumber air aqua berasal sumur bor pegunungan butuh kabar sumber air aqua sumur bor langsung viral media sosial kabar viral gubernur jabar dedi mulyadi angkat bicara gubernur jawa barat dedi mulyadi kunjungan pabrik aqua subang mengakui sumber air utama aqua mata air pegunungan baca selengkapnya httpsbangkatribunnewscomnewsdedimulyadisebutairaquadaripegununganbukansumurborakuitakadaniatmenjelekkan</t>
  </si>
  <si>
    <t>['dedi', 'mulyadi', 'air', 'aqua', 'pegunungan', 'sumur', 'bor', 'akui', 'niat', 'menjelekkan', 'media', 'sosial', 'hebohkan', 'sumber', 'air', 'diambil', 'aqua', 'terungkap', 'gubernur', 'jabar', 'dedi', 'mulyadi', 'sidak', 'pabrik', 'aqua', 'kawasan', 'subang', 'jawa', 'barat', 'kunjungan', 'dedi', 'mulyadi', 'pabrik', 'aqua', 'menyita', 'perhatian', 'publik', 'sidak', 'ramai', 'dugaan', 'sumber', 'air', 'aqua', 'berasal', 'sumur', 'bor', 'pegunungan', 'butuh', 'kabar', 'sumber', 'air', 'aqua', 'sumur', 'bor', 'langsung', 'viral', 'media', 'sosial', 'kabar', 'viral', 'gubernur', 'jabar', 'dedi', 'mulyadi', 'angkat', 'bicara', 'gubernur', 'jawa', 'barat', 'dedi', 'mulyadi', 'kunjungan', 'pabrik', 'aqua', 'subang', 'mengakui', 'sumber', 'air', 'utama', 'aqua', 'mata', 'air', 'pegunungan', 'baca', 'selengkapnya', 'httpsbangkatribunnewscomnewsdedimulyadisebutairaquadaripegununganbukansumurborakuitakadaniatmenjelekkan']</t>
  </si>
  <si>
    <t>Aqua Klarifiksi seusai Viral Gara-gara Disidak Dedi Mulyadi, Tegaskan Sumber Air dari Pegunungan
Baca Berita Selengkapnya di Situs video.tribunnews.com
#aqua #dedimulyadi #sumberair #beritaterkini #tribunnews #tribunvideo</t>
  </si>
  <si>
    <t>Tribun-Video.com Official</t>
  </si>
  <si>
    <t>https://www.instagram.com/reel/DQOxwK7DjwP/</t>
  </si>
  <si>
    <t>aqua klarifiksi viral garagara disidak dedi mulyadi tegaskan sumber air pegunungan baca berita selengkapnya situs videotribunnewscom</t>
  </si>
  <si>
    <t>['aqua', 'dedimulyadi', 'sumberair', 'beritaterkini', 'tribunnews', 'tribunvideo']</t>
  </si>
  <si>
    <t>['aqua', 'klarifiksi', 'viral', 'garagara', 'disidak', 'dedi', 'mulyadi', 'tegaskan', 'sumber', 'air', 'pegunungan', 'baca', 'berita', 'selengkapnya', 'situs', 'videotribunnewscom']</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</si>
  <si>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tersebut.â€¨â€¨Sambil berjalan menuju area belakang pabrik, ia menyoroti kondisi lingkungan sekitar yang dinilainya rawan longsor dan mengaitkannya dengan aktivitas industri. 
Rupanya, air diambil menggunakan teknologi sumur bor dengan kedalaman mencapai 100 hingga 130 meter.â€¨â€¨Mendengar fakta itu, gubernur yang akrab disapa Kang Dedi Mulyadi ini sempat terdiam sejenak. 
-
via muslimvox #bdginfo</t>
  </si>
  <si>
    <t>BANDUNG INFO</t>
  </si>
  <si>
    <t>https://www.instagram.com/p/DQI4fyCEq0S/</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</si>
  <si>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via muslimvox</t>
  </si>
  <si>
    <t>['bdginfo']</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</si>
  <si>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'via', 'muslimvox']</t>
  </si>
  <si>
    <t>Inspeksi mendadak yang dilakukan oleh Gubernur Jawa Barat, Dedi Mulyadi ke pabrik Aqua di kawasan Subang, Jawa Barat, mengungkap sebuah fakta yang mengejutkan dari produk air mineral tersebut. 
Air mineral yang selama ini dipasarkan dan dipersepsikan publik berasal dari mata air pegunungan alami, ternyata sumber utamanya adalah sumur bor dalam.</t>
  </si>
  <si>
    <t>https://www.instagram.com/reel/DQJRZClkqTi/</t>
  </si>
  <si>
    <t>inspeksi mendadak gubernur jawa barat dedi mulyadi pabrik aqua kawasan subang jawa barat mengungkap fakta mengejutkan produk air mineral air mineral dipasarkan dipersepsikan publik berasal mata air pegunungan alami sumber utamanya sumur bor</t>
  </si>
  <si>
    <t>['inspeksi', 'mendadak', 'gubernur', 'jawa', 'barat', 'dedi', 'mulyadi', 'pabrik', 'aqua', 'kawasan', 'subang', 'jawa', 'barat', 'mengungkap', 'fakta', 'mengejutkan', 'produk', 'air', 'mineral', 'air', 'mineral', 'dipasarkan', 'dipersepsikan', 'publik', 'berasal', 'mata', 'air', 'pegunungan', 'alami', 'sumber', 'utamanya', 'sumur', 'bor']</t>
  </si>
  <si>
    <t xml:space="preserve">Badan Perlindungan Konsumen Nasional atau BPKN RI akan melakukan investigasi dan memanggil manajemen PT Tirta Investama terkait isu mengenai sumber air Aqua.
Pasalnya, ada dugaan bahwa sumber air yang dipakai untuk produksi air mineral Aqua itu disebut-sebut bukan berasal dari mata air murni, melainkan dari sumur bor.
Baca berita selengkapnya
</t>
  </si>
  <si>
    <t>284251334961090_851965920819102</t>
  </si>
  <si>
    <t>https://www.facebook.com/225571246791909/posts/851965920819102</t>
  </si>
  <si>
    <t>badan perlindungan konsumen nasional bpkn ri investigasi memanggil manajemen pt tirta investama terkait isu sumber air aqua pasalnya dugaan sumber air dipakai produksi air mineral aqua disebutsebut berasal mata air murni sumur bor baca berita selengkapnya</t>
  </si>
  <si>
    <t>['badan', 'perlindungan', 'konsumen', 'nasional', 'bpkn', 'ri', 'investigasi', 'memanggil', 'manajemen', 'pt', 'tirta', 'investama', 'terkait', 'isu', 'sumber', 'air', 'aqua', 'pasalnya', 'dugaan', 'sumber', 'air', 'dipakai', 'produksi', 'air', 'mineral', 'aqua', 'disebutsebut', 'berasal', 'mata', 'air', 'murni', 'sumur', 'bor', 'baca', 'berita', 'selengkapnya']</t>
  </si>
  <si>
    <t>AQUA melalui laman media sosial resmi menanggapi video viral Gubernur Jawa Barat Dedi Mulyadi yang sidak ke pabrik di Subang.
Dalam unggahannya, AQUA mengungkapkan setiap sumber air dipilih melalui proses seleksi ketat yang melibatkan 9 kriteria ilmiah, 5 tahapan evaluasi, serta minimal 1 tahun penelitian.
â€œAir AQUA berasal dari pegunungan terlindungi, mengandung mineral alami, dan telah memperoleh izin resmi dari pemerintah,â€ terangnya.
â€œKami juga berupaya mengembalikan air lebih banyak ke alam dan masyarakat melalui program konservasi yang tersertifikasi BRIN,â€ tambahnya.</t>
  </si>
  <si>
    <t>https://www.instagram.com/reel/DQLhin0lcx-/</t>
  </si>
  <si>
    <t>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t>
  </si>
  <si>
    <t>['aqua',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t>
  </si>
  <si>
    <t>gubernur, jawa, barat, dedi, mulyadi, alias, kdm, mengungkap, fakta, sumber, air, minum, kemasan, amdk, diyakini, berasal, mata, air, pegunungan, video, sidak, diunggah, kanal, youtubenya, selasa, kdm, menemukan, air, produksi, salah, perusahaan, berasal, air, tanah, hasil, pengeboran, artesis, sedalam, seratus, meter, temuan, memicu, dampak, eksploitasi, air, tanah, lingkungan, warga, pasalnya, penelitian, penurunan, muka, air, tanah, daerah, industri, air, minum, mencapai, meter, data, mencatat, produsen, terbesar, amdk, indonesia, danoneaqua, sehataqua, megaliter, air, tanah, setara, ribu, meter, kubik, diambil, akuifer, vulkanik, tua, cadangan, air, purba, mudah, tergantikan, hukum, melanggar, praktik, menimbulkan, kritik, terkait, keberlanjutan, sumber, daya, air, kejujuran, label, produk, iklan, kemasan, air, menggambarkan, kesan, sumber, pegunungan, alami, prosesnya, melibatkan, pengeboran, industri, bertekanan, dinding, pabrik, apr</t>
  </si>
  <si>
    <t>muslimvox, voxofmuslim</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</si>
  <si>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follow, muslimvox, for, more, info</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</si>
  <si>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t>
  </si>
  <si>
    <t>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t>
  </si>
  <si>
    <t>gubernur, jawa, barat, dedi, mulyadi, kunjungan, kawasan, pabrik, aqua, kecamatan, cisalak, kabupaten, subang, menyerap, aspirasi, masyarakat, pabrik, pertemuan, warga, keluhan, terkait, sulitnya, air, bersih, tinggal, pabrik, air, minum, terbesar, wilayah, dialog, hangat, warga, membeli, air, bersih, kebutuhan, seharihari, kawasan, berdiri, pabrik, pengolahan, air, kemasan, dikenal, memanfaatkan, sumber, air, tanah</t>
  </si>
  <si>
    <t>hardnews_viral, newsone, cariberitaditvone, dedimulyadi, aqua, danone, viral, no3</t>
  </si>
  <si>
    <t>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t>
  </si>
  <si>
    <t>simak, iklan, aqua, slogan, alami, berasal, gununggunung, terpilih, aqua, disaring, lapisan, bebatuan, pelindung, proses, rekayasa, aqua, mengandung, mineral, alami, zat, berbahaya, aqua, dingin, didinginkan</t>
  </si>
  <si>
    <t>pt, tirta, investama, produsen, aqua, klarifikasi, resmi, terkait, kunjungan, gubernur, jawa, barat, dedi, mulyadi, pabrik, subang, jawa, barat, klarifikasi, bertujuan, isu, muncul, media, sosial, klaim, aqua, air, sumur, bor, sumber, air, pegunungan, aqua, sumber, air, berasal, sumur, bor, akuifer, lapisan, air, tanah, alami, terbentuk, sistem, hidrogeologi, pegunungan, aqua, air, akuifer, sistem, hidrogeologi, pegunungan, air, terlindungi, alami, proses, seleksi, kajian, ilmiah, ahli, ugm, unpad, titik, sumber, bersifat, selfflowing, mengalir, alami, aqua, keterangan, resminya, aqua, sumber, air, ambil, akuifer, berdampak, sumber, air, masyarakat, pengambilan, air, sesuai, izin, resmi, diawasi, badan, geologi, kementerian, esdm, pemerintah, daerah, aqua, memiliki, kebijakan, perlindungan, air, tanah, terkait, potensi, longsor, perusahaan, proses, pengambilan, air, diawasi, ketat, berdasarkan, kajian, ugm, menimbulkan, pergeseran, tanah, longsor, berdasarkan, kajian, ugm, pengambilan, air, terkendali, menyebabkan, pergeseran, tanah, longsor, danoneaqua, via, danoneaqua</t>
  </si>
  <si>
    <t>gubernur, jawa, barat, dedi, mulyadi, inspeksi, mendadak, sidak, pabrik, aqua, subang, senin, oktober, kunjungan, bertujuan, klaim, perusahaan, sumber, air, mineral, dipasarkan, air, pegunungan, fakta, ditemukan, mengejutkan, meninjau, lokasi, pabrik, proses, pengambilan, air, dedi, mulyadi, menemukan, sumber, air, aqua, berasal, pegunungan, klaim, iklan, air, diperoleh, sumur, bor, kedalaman, meter, berbeda, persepsi, publik, air, mineral, murni, mata, air, pegunungan, alami, fakta, masyarakat, percaya, air, pegunungan, berasal, sumur, bor, perhatian, dampak, lingkungan, dedi, mulyadi, keterangannya, lokasi, dedi, menyoroti, potensi, risiko, lingkungan, pengambilan, air, tanah, masif, meningkatkan, risiko, longsor, menimbulkan, krisis, air, bersih, warga, perusahaan, mengambil, sumber, daya, alam, memerhatikan, tanggung, sosial, lingkungan, gubernur, menekankan, ketimpangan, keuntungan, perusahaan, kondisi, masyarakat, kadang, kesulitan, mengakses, air, bersih, menurutnya, keberadaan, pabrik, kesempatan, masyarakat, merasakan, manfaat, merugikan, kunjungan, dedi, mulyadi, pabrik, aqua, terekam, video, diunggah, kanal, youtube, kang, dedi, mulyadi, channel, viral, media, sosial, warganet, menyoroti, fakta, klaim, pemasaran, air, mineral, pegunungan, perusahaan, transparan, sidak, pengingat, terkait, pengelolaan, sumber, daya, alam, bertanggung, dedi, mulyadi, menekankan, regulasi, perusahaan, mengejar, keuntungan, menjaga, keseimbangan, lingkungan, kesejahteraan, masyarakat, temuan, publik, sadar, klaim, pemasaran, produk, sejalan, fakta, lapangan, sidak, momentum, pemerintah, daerah, perusahaan, transparan, akuntabel, mengelola, sumber, daya, alam</t>
  </si>
  <si>
    <t>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inilahcom</t>
  </si>
  <si>
    <t>gunung, gunungaqua, gunungsindoro, gunungsumbing</t>
  </si>
  <si>
    <t>the, real, gunung, aqua, pendaki, gugusan, gunung, logo, aqua, pemandangan, gunung, sindoro, gunung, sumbing, kabupaten, wonosobo, jawa, ikatan, historisnya, pendiri, aqua, tirto, utomo, lahir, wonosobo, pemandangan, asli, logo, ikonik, aqua</t>
  </si>
  <si>
    <t>badan, perlindungan, konsumen, nasional, bpkn, ri, mengambil, langkah, rencana, memanggil, jajaran, direksi, pt, tirta, investama, produsen, air, minum, kemasan, amdk, merek, aqua, langkah, menyusul, dugaan, serius, sumber, air, aqua, berasal, sumur, bor, air, tanah, mata, air, pegunungan, murni, gencar, diklaim, iklan, kabar, langsung, ketua, bpkn, ri, mufti, mubarok, tinggal, diam, isu, meresahkan, konsumen, bpkn, pertanggungjawaban, klarifikasi, resmi, manajemen, aqua, memanggil, manajemen, direktur, pt, tirta, investama, klarifikasi, resmi, terkait, sumber, air, produksi, aqua, bpkn, mengirim, tim, investigasi, langsung, lokasi, pabrik, memverifikasi, kebenaran, informasi, ketua, bpkn, ri, mufti, mubarok, keterangannya, jakarta, kamis, dugaan, mencuat, laporan, publik, hasil, inspeksi, salah, pabrik, aqua, mengindikasikan, penggunaan, air, tanah, temuan, sontak, sorotan, citra, merek, aqua, puluhan, dibangun, slogan, air, pegunungan, murni, alami, masif, dipromosikan, media, mufti, bpkn, memiliki, kewajiban, hak, konsumen, informasi, jujur, dilanggar, sesuai, amanat, undangundang, nomor, perlindungan, konsumen, klaim, iklan, sesuai, kenyataan, lapangan, dikategorikan, penyesatan, informasi, klaim, iklan, berbeda, fakta, lapangan, pelanggaran, prinsip, kejujuran, beriklan, konsumen, berhak, bahan, baku, produk, konsumsi, bpkn, menindaklanjuti, transparan, sesuai, ketentuan, hukum, dilansir, kantor, berita, bpkn, ri, mufti, menggandeng, badan, pengawas, obat, makanan, bpom, kementerian, perindustrian, pemeriksaan, silang, terkait, izin, sumber, air, pemenuhan, standar, mutu, amdk, mengambil, langkah, bpkn, tindakan, murni, bertujuan, melindungi, kepentingan, konsumen, menjaga, kepercayaan, publik, merusak, reputasi, perusahaan, mengajak, pelaku, usaha, berkomitmen, menjaga, kejujuran, promosi, pelabelan, produk, konsumen, indonesia, berhak, kebenaran, citra, mufti, langkah, bpkn, ri, mengimbau, masyarakat, cermat, memilih, air, minum, kemasan, membaca, label, sumber, air, tertera, kemasan, dugaan, pelanggaran, ketidaksesuaian, klaim, produk, konsumen, melapor, langsung, kanal, resmi, wwwbpkngoid</t>
  </si>
  <si>
    <t>pelajar, bernama, mersel, dilaporkan, terseret, arus, laut, mandimandi, pantai, padang, minggu, kantor, pencarian, pertolongan, kpp, padang, mengerahkan, tim, sar, pencarian, pertolongan, lokasi, kejadian, abdul, malik, kepala, kantor, pencarian, pertolongan, kakansar, padang, informasi, diterima, pusat, pengendalian, operasi, badan, penanggulangan, bencana, daerah, pusdalops, bpbd, kota, padang, wib, lokasi, kejadian, kilometer, kantor, pusat, sar, padang, meter, dermaga, rib, tim, sar, membawa, alat, utama, perlengkapan, sar, alut, palsar, lengkap, meliputi, rescue, car, rib, lcr, alat, sar, air, peralatan, medis, komunikasi, perangkat, aqua, eye, mempermudah, pencarian, air, abdul, malik, proses, pencarian, lapangan, menghadapi, kendala, signifikan, kondisi, cuaca, bersahabat, hujan, deras, disertai, badai, kecepatan, angin, mencapai, knot, kakansar, padang, korban, pelajar, lakilaki, menikmati, mandi, pantai, terseret, ombak, tim, sar, pencarian, maksimal, mengerahkan, sumber, daya</t>
  </si>
  <si>
    <t>rmol, republikmedeka, republikmedekaonline</t>
  </si>
  <si>
    <t>gubernur, jawa, barat, dedi, mulyadi, inspeksi, mendadak, pabrik, air, minum, merek, aqua, subang, jawa, barat, sidak, dedi, volume, air, diambil, perusahaan, liter, perwakilan, perusahaan, dikutip, rabu, oktober, dedi, mengaku, terkejut, sumber, air, berasal, sumur, bor, mata, air, pegunungan, branding, iklan, air, gunung, ambil, tanah, geser, tanahnya, diperhitungkan, dedi, izin, operasional, pengambilan, air, tanah, perusahaan, ditinjau, ulang, mencegah, kerusakan, lingkungan, creative, video, abdul, rouf, ade, segun</t>
  </si>
  <si>
    <t>majika, aquaindigo, scent</t>
  </si>
  <si>
    <t>vibing, aqua, indigo</t>
  </si>
  <si>
    <t>heboh, air, mineral, merk, aqua, diklaim, bersumber, air, pegunungan, berasal, air, tanah, dibor, gubernur, jawa, barat, jabar, kang, dedi, mulyadi, kdm, sidak, pabrik, aqua, kawasan, subang, warganet, ramai, kena, prank, kenyataan, aqua, iklannya, mengklaim, air, kemas, bersumber, mata, air, pegunungan, terbongkarnya, sumber, air, aqua, terungkap, video, akun, tiktok, kang, dedi, mulyadi, orang, nomor, jawa, barat, sidak, langsung, pabrik, aqua, kdm, disambut, orang, diduga, pimpinan, dipabrik, kdm, sumber, air, dikemas, aqua, salah, satunya, perempuan, berkerudung, menyebut, mengambilnya, tanah, dibor, sontak, ramai, sorotan, netizen, obrolan, kdm, perihal, kendaraan, truk, mengangkut, hasil, produksi, kemasan, kdm, laporan, truktruk, menyalahi, aturan, akibat, kendaraan, mestinya, sesuai, kekuatan, tonase, jalan, dilewati, truk, aqua, truk, sumbu, meeusak, jalan, rawan, kecelakaan, menimpa, warga, kdm, kdmri, pikiranrakyat</t>
  </si>
  <si>
    <t>exploresubang</t>
  </si>
  <si>
    <t>dedi, mulyadi, sidak, pabrik, aqua, subang, tjhohanzkdm</t>
  </si>
  <si>
    <t>infokrw, karawang, aqua, kdm, dedimulyadj</t>
  </si>
  <si>
    <t>gubernur, jawa, barat, dedi, mulyadi, sidak, pabrik, air, mineral, kawasan, pegunungan, subang, kunjungannya, dedi, menyoroti, potensi, bencana, lingkungan, ditimbulkan, akibat, aktivitas, industri, wilayah, menilai, pengambilan, air, tanah, penebangan, pohon, pabrik, memperparah, kerusakan, lingkungan, memicu, bencana, salah, dampak, akibat, aktivitas, banjir, longsor, meninjau, area, pabrik, dedi, penyebab, longsor, kawasan, longsor, dedi, atasnya, sawah, perwakilan, perusahaan, dedi, penyebab, kerusakan, keberadaan, sawah, menilai, aktivitas, industri, eksploitasi, air, tanah, penebangan, pohon, memperburuk, kondisi, lingkungan, kawasan, video, yt, kang, dedi, mulyadi, channel</t>
  </si>
  <si>
    <t>bogorterkini, kdm, dedimulyadi, airtanah, aqua, danone, jawabarat, lingkungan</t>
  </si>
  <si>
    <t>kdm, bongkar, fakta, air, kemasan, mata, air, sumur, bor, sidak, gubernur, jawa, barat, dedi, mulyadi, kdm, selasa, oktober, mengungkap, temuan, mengejutkan, air, minum, kemasan, amdk, salah, merek, berasal, mata, air, alami, air, tanah, hasil, pengeboran, artesis, meter, permukaan, bumi, masyarakat, pabrik, jawa, barat, jawa, timur, merasakan, dampaknya, sumur, menipis, sawah, mengering, musim, kemarau, air, tanah, warisan, kehidupan, diam, habis, bumi, retak, kdm, sidak, izin, hak, publik, air, sumber, hidup, dijaga, naskah, inilahcom</t>
  </si>
  <si>
    <t>hobi, skip, water, station, coba, tonton, video, rehidrasi, kalo, yo, sehataqua, sejuk, murni, menyegarkan, jooosss, aqua</t>
  </si>
  <si>
    <t>aqua, berasal, sumber, air, pegunungan, terpilih, terlindungi, air, air, aqua, aqua, berasal, air, tanah, akuifer, lapisan, batuan, kedap, terlindungi, cemaran, lapisan, menjadikan, air, aqua, mengandung, mineral, alami, sahabat, semoga, informasi, referensi, air, aqua</t>
  </si>
  <si>
    <t>gubernur, jawa, barat, dedi, mulyadi, kunjungan, pabrik, aqua, kabupaten, subang, senin, sidaknya, dedi, menemukan, praktik, dinilai, merugikan, masyarakat, pekerja, lapangan, salah, temuan, mencolok, dugaan, pelanggaran, muatan, truk, pengangkut, galon, aqua, melebihi, kapasitas, hasil, pengecekan, truk, mengangkut, ton, air, galon, kedapatan, membawa, ton, beban, muatan, dibikin, kali, lipat, upah, sopirnya, rp, ribu, dedi, mulyadi, meninjau, langsung, aktivitas, bongkar, muat, area, pabrik, menurutnya, praktik, melanggar, aturan, keselamatan, berpotensi, menyebabkan, kerusakan, infrastruktur, jalan, jembatan, wilayah, subang, pemerintah, provinsi, jawa, barat, giat, membangun, memperbaiki, jalan, truktruk, membawa, muatan, berlebih, ya, jalan, diperbaiki, rusak, dedi, menyoroti, nasib, sopir, truk, disebutnya, kerap, dijadikan, kambing, hitam, kecelakaan, akibat, beban, berlebih, menjalankan, perintah, perusahaan, disuruh, angkut, kapasitas, truk, terguling, jalan, rusak, sopirnya, disalahkan, adil, dedi, perusahaan, meninjau, ulang, sistem, kerja, pemberian, upah, sopir, sesuai, beban, kerja, dijalankan, perusahaan, aqua, bertanggung, dampak, sosial, lingkungan, operasionalnyaand</t>
  </si>
  <si>
    <t>kdm, sidak, aqua, buycut</t>
  </si>
  <si>
    <t>terima, kasih, kang, dedi, mulyadi, kdm, membuka, tabir, kecurangan, brand, berdoa, semoga, brand, air, mineral, lokal, jawa, barat, permukaan, gantikan, brand, air, mineral, terafiliasi, yuk, bantu, kdm, listing, namanama, brand, air, mineral, lokal, jawa, barat</t>
  </si>
  <si>
    <t>kecelakaan, maut, jalan, raya, bandung, subang, tepatnya, daerah, desa, gunungtua, kecamatan, cijambe, kabupaten, subang, jawa, barat, kamis, kecelakaan, melibatkan, truk, pengangkut, aqua, kendaraan, roda, roda, truk, menabrak, kendaraan, depannya, kecelakaan, menimbulkan, korban, jiwa, lukaluka, langsung, viral, media, sosial, medsos, diunggah, warganet, lokasi, kejadian, detikdetik, kecelakaan, terekam, cctv, closedcircuit, television, lokasi, masyarakat, berjibaku, evakuasi, korban, rumah, sakit, informasi, wib, korban, wafat, kecelakaan, orang, tujuh, orang, alami, lukaluka, rsud, subang, korban, wafat, n, m, warga, cijuhung, desa, rawalele, kecamatan, dawuan, i, warga, wera, kelurahan, dangdeur, kecamatankabupaten, subang, korban, lukaluka, pk, e, n, warga, cijuhung, o, warga, wangunreja, er, warga, wera, ak, i, warga, pamanukan, kabupaten, subang, kejadian, ditangani, unit, gakkum, satlantas, polres, subang, proses, penyelidikan, penyebab, kecelakaan, maut</t>
  </si>
  <si>
    <t>flashtirto</t>
  </si>
  <si>
    <t>gubernur, jawa, barat, dedi, mulyadi, terkejut, air, aqua, diproduksi, subang, berasal, sumur, bor, aqua, air, sumur, bor, berasal, akuifer, sistem, hidrogeologi, pegunungan</t>
  </si>
  <si>
    <t>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ytkangdedimulyadichannel, inilahcom</t>
  </si>
  <si>
    <t>pernyataan, dedi, video, inspeksi, mendadak, sidak, diunggah, kanal, youtube, kang, dedi, mulyadi, channel, rabu, malam, wib, sidak, pabrik, milik, pt, tirta, investama, berlokasi, kabupaten, subang, dedi, keberadaan, truk, odol, merusak, jalan, membahayakan, keselamatan, warga, memperparah, kerusakan, infrastruktur, dibiayai, uang, rakyat, izin, pengambilan, air, tanah, alat, pengendali, hukum, perusahaan, melanggar, aturan, aqua, berbenah, mengganti, armada, truk, sesuai, spesifikasi, resmi, langkah, gubernur, dedi, mulyadi, dinilai, bentuk, komitmen, menjaga, lingkungan, keselamatan, kesejahteraan, rakyat, pelaku, industri, jawa, barat, mengejar, keuntungan, bertanggung, dampak, sosial, infrastruktur</t>
  </si>
  <si>
    <t>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t>
  </si>
  <si>
    <t>batamnews, batam</t>
  </si>
  <si>
    <t>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t>
  </si>
  <si>
    <t>pria, diduga, tenggelam, kali, angke, kawasan, petir, kecamatan, cipondoh, kota, tangerang, senin, peristiwa, sontak, menghebohkan, warga, korban, bernama, adi, warga, gang, h, lancong, kelurahan, gondrong, diduga, terjatuh, flyover, aliran, kali, angke, rs, mandaya, hospital, wib, komandan, tim, kantor, sar, jakarta, aulia, shlihanto, kejadian, kali, tukang, kopi, tukang, kopi, teriak, warga, mencari, orang, lokasi, keterangan, korban, terlibat, konflik, keluarga, kejadian, didalami, petugas, tim, sar, gabungan, pencarian, pagi, sore, bongkar, tumpukan, sampah, lokasi, titik, dicurigai, upaya, pencarian, petugas, alat, bantu, aquaeye, mendeteksi, keberadaan, korban, air, sore, hasilnya, nihil, proses, penyisiran, km, arah, bendungan, polor, jakarta, barat, nihil, personel, sar, gabungan, tangerang, tangsel, jakarta, dikerahkan, operasi, pencarian, menjelang, malam, operasi, dihentikan, kondisi, tim, beralih, pemantauan, visual, darat, mengantisipasi, korban, terseret, arus, kondisi, air, keruh, banyaknya, tumpukan, sampah, kendala, utama, pencarian, arus, sungai, deras, menyulitkan, proses, penyelaman, pencarian, dilanjutkan, selasa, pagi, memperluas, area, penyisiran, kilometer, titik, kejadian</t>
  </si>
  <si>
    <t>suasana, sumber, mata, air, aqua, longsor, menimpa, kawasan, cipondok, desa, pasanggrahan, kecamatan, kasomalang, minggu, sore, tseputhe</t>
  </si>
  <si>
    <t>aqua, indonesiahalalwatch, bpom, bpjph, perlindungankonsumen, amdk, sertifikasihalal, beritaterkin</t>
  </si>
  <si>
    <t>pendiri, indonesia, halal, watch, ihw, ikhsan, abdullah, menyoroti, dugaan, penggunaan, air, sumur, tanah, produk, air, minum, kemasan, amdk, merek, aqua, dugaan, kecurangan, dinilai, sesuai, klaim, iklan, sumber, mata, air, pegunungan, ikhsan, terbukti, produsen, aqua, dikenakan, sanksi, hukum, berdasarkan, undangundang, nomor, perlindungan, konsumen, sanksi, berpotensi, mencakup, pencabutan, izin, edar, bpom, pembatalan, sertifikasi, halal, bpjph, penurunan, materi, iklan, ruang, publik, ancaman, hukum, ikhsan, menilai, reputasi, produsen, terancam, rusak, parah, tindakan, curang, menurunkan, kepercayaan, konsumen, memicu, hilangnya, pangsa, pasar, menimbulkan, risiko, kesehatan, serius, alergi, keracunan, penyakit, bahan, baku, sesuai, standar, ihw, mendesak, bpom, bpjph, pemeriksaan, audit, ketat, kepatuhan, produsen, regulasi, kunci, menjaga, keamanan, produk, kepercayaan, publik, naskah, desain, asep, suherman</t>
  </si>
  <si>
    <t>suarasurabaya, suarasurabayamedia, ssemenit, aqua, danone, kdm</t>
  </si>
  <si>
    <t>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t>
  </si>
  <si>
    <t>faktafakta, danone, aqua, sumbermataair, airpegunungan, sumurbor, dedimulyadi, infojabar</t>
  </si>
  <si>
    <t>air, mineral, murni, pegunungan, bikin, heboh, publik, dedi, mulyadi, barubaru, mengunggah, sidak, pabrik, aqua, subang, menemukan, sumber, air, berasal, sumur, bor, meter, tanah, mata, air, pegunungan, diposisikan, iklan, temuan, bikin, orang, bertanyatanya, klaim, air, pegunungan, strategi, marketing, tinggal, danone, indonesia, menanggapi, bantahan, sumber, air, aqua, pegunungan, penggunaan, sumur, bor, proses, pemurnian, pengambilan, air, memenuhi, standar, kualitas, gap, diklaim, iklan, mata, air, pegunungan, alami, temuan, lapangan, sumur, bor, konsumen, dibohongi, dedi, mempermasalahkan, pembayaran, pajak, aqua, dedi, perusahaan, air, kemasan, aqua, mengambil, sumber, daya, alam, daerah, contohnya, subang, sukabumi, klaten, pajak, besarnya, disetor, pusat, kantor, pusat, jakarta, pemerintah, daerah, air, diambil, akibatnya, masyarakat, sumber, air, nggak, merasakan, manfaat, ekonomi, langsung, lingkungan, menyumbang, airnya, sumber, suara, cnn, indonesia</t>
  </si>
  <si>
    <t>Tidak semua air di bumi punya kisah pembentukan yang sama. Ada yang terbentuk cepat, seperti air permukaan dan air tanah dangkal. Ada juga yang butuh ratusan hingga ribuan tahun untuk kembali terisi, yaitu: air tanah dalam.
Dalam ilmu lingkungan, air tanah dalam adalah gudang cadangan utama yang menjaga mata air tetap mengalir, menahan tanah agar tidak turun, dan memastikan ekosistem di sekitarnya tetap hidup.
Jika dieksploitasi tanpa kontrol,
air ini lebih cepat habis daripada pulih.
Risikonya: tanah ambles, mata air mengering, dan jika di daerah pesisir dapat menyebabkan intrusi air laut.
Mengambil air tanah dalam ibarat
membuat shortcut ke tabungan terakhir bumi. Cepat dan menguntungkan hari ini, tapi menguras masa depan tanpa kita sadari.
//save dulu
#airtanahdalam #aqua</t>
  </si>
  <si>
    <t>airtanahdalam, aqua</t>
  </si>
  <si>
    <t>air, bumi, kisah, pembentukan, terbentuk, cepat, air, permukaan, air, tanah, dangkal, butuh, ratusan, ribuan, terisi, air, tanah, ilmu, lingkungan, air, tanah, gudang, cadangan, utama, menjaga, mata, air, mengalir, menahan, tanah, turun, ekosistem, hidup, dieksploitasi, kontrol, air, cepat, habis, pulih, risikonya, tanah, ambles, mata, air, mengering, daerah, pesisir, menyebabkan, intrusi, air, laut, mengambil, air, tanah, shortcut, tabungan, bumi, cepat, menguntungkan, menguras, sadari, save</t>
  </si>
  <si>
    <t>infocimahi, kotacimahi, cimahi, bandung, jawabarat, cimtizen, airaqua, aqua, kdm</t>
  </si>
  <si>
    <t>infocimahi, gubernur, jawa, barat, dedi, mulyadi, sidak, pabrik, air, minum, aqua, subang, menyoroti, aktivitas, industri, dinilai, berisiko, menimbulkan, banjir, longsor, akibat, pengambilan, air, tanah, video, diunggah, akun, youtube, dedimulyadi, dedi, terkejut, sumber, air, aqua, berasal, sumur, bor, mata, air, pegunungan, air, gunung, gak, ambil, tanah, nggak, geser, tanahnya, pegunungan, geser, tanah, berisiko, diperhitungkan, dedi, izin, operasional, pengambilan, air, tanah, perusahaan, ditinjau, ulang, manipulasi, data, volume, air, diambil, mencegah, potensi, bencana, air, permukaan, air, sungai, mata, air, kategorinya, sumur, pompa, menanggapi, manajemen, danone, indonesia, sumber, air, berasal, sumber, air, pegunungan, terlindungi, air, aqua, berasal, sumber, air, pegunungan, tersebar, indonesia, sumber, air, dipilih, proses, seleksi, ketat, melibatkan, kriteria, ilmiah, tahapan, evaluasi, minimal, penelitian, danone, keterangan, resminya, dikutip, cnbc, indonesia, danone, sumber, air, berasal, akuifer, kedalaman, meter, terlindungi, alami, ditetapkan, kajian, ilmiah, lintas, disiplin, keamanan, lingkungan, masyarakat</t>
  </si>
  <si>
    <t>halloween, halloween2025, aquatofana</t>
  </si>
  <si>
    <t>aqua, tofana, mua, hair, autojamesmakeup, pongsakjoejomakeup, costume, mayamodern, photographer, ninjawsp, director, atlovetungkae, assistant, premikaa</t>
  </si>
  <si>
    <t>mendengar, menghargai, berupaya, informasi, edukasi, akurat, kekhawatiran, beredar, aqua, berdiri, dekade, senantiasa, berkomitmen, mengedepankan, kualitas, produk, standar, operasional, semoga, video, misinformasi, beredar, diluruskan, terima, kasih, kepercayaan, dukungan, sahabat, keluarga, aqua</t>
  </si>
  <si>
    <t>gubernur, jawa, barat, dedi, mulyadi, inspeksi, mendadak, sidak, pabrik, air, minum, kemasan, amdk, aqua, berlokasi, kabupaten, subang, rabu, kunjungan, menyoroti, praktik, pengambilan, air, tanah, industri, dinilai, berpotensi, menimbulkan, bencana, lingkungan, banjir, longsor, wilayah, dedi, akrab, disapa, kang, dedi, mulyadi, kdm, keprihatinannya, kondisi, lingkungan, area, industri, menilai, indikasi, penurunan, kualitas, lingkungan, akibat, aktivitas, pengambilan, air, meter, kubik, air, diambil, perwakilan, perusahaan, sidak, perwakilan, perusahaan, pabrik, mengambil, juta, liter, air, mendengar, kdm, menyoroti, kebijakan, perusahaan, memperoleh, sumber, daya, alam, cumacuma, pabrik, semen, otomotif, beli, bahan, baku, bahan, bakunya, gratis, diambil, bumi, milik, rakyat, tayangan, kanal, youtube, pribadinya, dedi, pengelolaan, sumber, daya, alam, bertanggung, sesuai, amanat, konstitusi, air, kekayaan, alam, sebesarbesarnya, kemakmuran, rakyat, sematamata, keuntungan, perusahaan, air, diangkut, daerah, dijual, mahal, warga, kesulitan, air, bersih, kdm, terkejut, sumber, air, berasal, sumur, bor, mata, air, pegunungan, diasumsikan, ambil, tanah, kawasan, pegunungan, menggeser, tanah, memicu, longsor, temuan, dedi, mulyadi, izin, operasional, perusahaan, izin, pengambilan, air, tanahnya, ditinjau, ulang, pemerintah, tinggal, diam, praktik, industri, berpotensi, merusak, lingkungan, mengancam, keselamatan, masyarakat</t>
  </si>
  <si>
    <t>batamnews, batam, kecelakaankerja, kelalaiank3</t>
  </si>
  <si>
    <t>fakta, terungkap, tragedi, ledakan, kapal, federal, ii, galangan, pt, asl, shipyard, tanjunguncang, batam, menewaskan, belasan, pekerja, dugaan, kuat, tangki, kapal, menjalani, proses, tank, cleaning, pembersihan, sisa, minyak, pekerjaan, pengelasan, informasi, diperoleh, keterangan, pekerja, selamat, kejadian, tim, fitting, salah, subkontraktor, memperingatkan, safety, pt, asl, tangki, dipenuhi, kerak, minyak, hitam, mudah, terbakar, warna, hitam, kerak, minyak, dibersihkan, disuruh, stop, kerja, disuruh, standby, air, botol, aqua, terbakar, tinggal, siram, salah, pekerja, tim, rotary, kelompok, korban</t>
  </si>
  <si>
    <t>buycut, boycott, skandal, scandal, aqua</t>
  </si>
  <si>
    <t>waspada, tipu, daya, brand, terafiliasi, bijak, membeli, tergerak, boikot, aspek, afiliasi, aspek, brand, terafiliasi, boikot, memiliki, ciri, khas, tipu, daya, fungsi, produk, iklan, sehat, overprice, pendukung, lagibete, antek, asing, brand, lokal, brand, tetangga, brand, kerabat, terbukti, memajukan, ekonomi, umat, bangsa, mempercepat, runtuhnya, brand, terafiliasi, kisah, skandal, brand, terafiliasi, sharing, kolom, komentar, ya</t>
  </si>
  <si>
    <t>terbongkar, rahasia, aqua, sumur, bor, dedi, mulyadi, mata, air</t>
  </si>
  <si>
    <t>infojawabarat, jawabarat, jabaristimewa, bogor, subang, bekasi, bogor, sukabumi, cianjur</t>
  </si>
  <si>
    <t>terpikir, air, mineral, minum, tetes, aqua, memiliki, perjalanan, air, hujan, lereng, pegunungan, terpilih, air, meresap, perlahan, tanah, melewati, lapisan, batuan, bertahuntahun, air, mineral, alami, kaya, manfaat, aqua, dipilih, sumber, air, pegunungan, berdasarkan, sembilan, kriteria, tahapan, penelitian, airnya, berasal, aquifer, tertekan, terlindungi, alami, bebas, kontaminan, mengandung, mineral, alami, bikin, aqua, beda, air, aqua</t>
  </si>
  <si>
    <t>gimana, nih, tanggapannya, warga, sidak, lapangan, dedi, mulyadi, mendadak, emosi, mendengar, pengakuan, sopir, truk, pengangkut, aqua, mengaku, digaji, umr, sang, sopir, menceritakan, pagi, malam, beban, kerja, berat, penghasilannya, sebanding, dedi, menyoroti, ketimpangan, perusahaan, layani, meraih, keuntungan, triliunan, rupiah, momen, menuai, perhatian, publik, memicu, perbincangan, kesejahteraan, pekerja, lapangan</t>
  </si>
  <si>
    <t>à¹€à¸§, vietjetthailand, à¹€à¸—</t>
  </si>
  <si>
    <t>osaka, amazing, pass, jr, day, amazing, pass, day, osaka, castle, morinomiya, sta, exit, b, tanimachi, chome, exit, b, osaka, city, hall, aqua, liner, cruise, yodoyabashi, sta, exit, aqua, liner, nakanoshima, kitahama, umeda, sky, building, floating, garden, umeda, sta, exit, hep, five, ferris, wheel, umeda, sta, exit, yakiniku, rikimaru, umeda, umeda, sta, day, osaka, bay, minami, amazing, pass, day, tempozan, giant, ferris, wheel, osakako, sta, exit, santa, maria, sunset, cruise, tempozan, harbor, village, osakako, sta, unagi, kushiyaki, izumo, namba, sta, exit, b, tsutenkaku, tower, tower, slider, ebisucho, sta, exit, shinsekai, kushikatsu, daruma, dotonbori, shinsaibashisuji, shopping, street, donguri, republic, shinsaibashi, parco, rikuro, ojisan, cheesecake, namba, chibo, okonomiyaki, restaurant, shinsaibashi, sta, exit, day, nakazakicho, nakazakicho, sta, exit, orange, street, yotsubashi, sta, exit, gyukatsu, motomura, namba, ryukishin, rize, kuromon, ichiba, market, nippombashi, sta, exit, kura, sushi, shinsaibashi, keitei, takashimaya, f, namba, sta, exit, maruyoshi, shinsaibashi, genrokuzushi, dotonbori, aizuya, honten, tamade, sta, yakiniku, rikimaru, namba, checkin, wwwvietjetaircom</t>
  </si>
  <si>
    <t>tirtodaily</t>
  </si>
  <si>
    <t>produsen, air, minum, kemasan, aqua, angkat, bicara, merespons, isu, viral, media, sosial, isu, mencuat, kunjungan, mendadak, gubernur, jawa, barat, dedi, mulyadi, menyoroti, sumber, air, pabrik, aqua, berasal, sumur, bor, pernyataan, resmi, situsnya, aqua, air, kemas, berasal, akuifer, kedalaman, meter, air, akuifer, sistem, hidrogeologi, pegunungan, aqua, perusahaan, menekankan, air, sumber, terlindungi, alami, titik, sumber, bersifat, selfflowing, mengalir, alami, aqua, pemilihan, pengambilan, airnya, proses, seleksi, kajian, ilmiah, ketat, tim, ahli, disiplin, ilmu, geologi, hidrogeologi, geofisika, mikrobiologi</t>
  </si>
  <si>
    <t>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t>
  </si>
  <si>
    <t>cruside</t>
  </si>
  <si>
    <t>kang, dedi, mulyadi, sorotan, sidak, salah, pabrik, aqua, menindaklanjuti, keluhan, warga, jalan, rusak, area, pabrik, warga, menilai, truk, pengangkut, air, mineral, pabrik, melintas, beban, berlebih, bikin, jalan, cepat, rusak, ngebuang, dana, rakyat, perbaikan, terusmenerus, video, beredar, kdm, menegur, pabrik, menyoroti, dugaan, pelanggaran, jam, operasional, kelebihan, muatan, aksi, sikap, kdm, memperjuangkan, kepentingan, masyarakat, dibiarkan, jalan, rusak, aspal, retak, bukti, rakyat, lagilagi, nanggung, akibatnya</t>
  </si>
  <si>
    <t>brand, air, mineral, aqua, sorotan, gubernur, jawa, barat, dedi, mulyadi, mengunggah, konten, menyinggung, sumber, air, aqua, berasal, sumur, mata, air, permukaan, dikenal, masyarakat, sorotan, aqua, memiliki, sejarah, pelopor, air, minum, kemasan, amdk, asli, indonesia, didirikan, pengusaha, tirto, utomo, tirto, utomo, pendirian, perusahaan, bernama, pt, golden, mississippi, pabrik, dibangun, pondok, ungu, bekasi, jawa, barat, visi, tirto, sederhana, menyediakan, air, minum, higienis, berkualitas, masyarakat, indonesia, produk, perdana, aqua, diluncurkan, kemasan, botol, kaca, dikenal, luas, era, ide, menjual, air, botol, dianggap, aneh, masyarakat, terbiasa, merebus, air, tanah, popularitas, aqua, melejit, proyek, pembangunan, tol, jagorawi, melibatkan, pekerja, kontraktor, asing, konsumen, utama, aqua, dipercaya, air, minum, berkualitas, praktis, seiring, berjalannya, aqua, tumbuh, merek, air, mineral, terbesar, indonesia, saham, mayoritasnya, dimiliki, perusahaan, perancis, danone, aqua, perjalanan, bangsa, indonesia, akar, murni, local, lahir, orang, indonesia, masyarakat, indonesia, kisah, tirto, utomo, mengawali, ketulusan, kebutuhan, air, bersih, tanah, air, warisan, dikenang</t>
  </si>
  <si>
    <t>goodiebag13miliarlebih, goodiebagalfamartrun13miliar, goodiebagsultan, goodiebagfantastisalfamart</t>
  </si>
  <si>
    <t>lari, seru, pas, cuaca, mendukung, seneng, semangat, seger, bareng, aqua, water, station</t>
  </si>
  <si>
    <t>Tipu daya mereka terbongkar dengan cara-cara yang pastinya tidak mereka prediksi sebelumnya.
ÙˆÙŽÙ…ÙŽÙƒÙŽØ±ÙÙˆÙ’Ø§ ÙˆÙŽÙ…ÙŽÙƒÙŽØ±ÙŽ Ø§Ù„Ù„Ù‘Ù°Ù‡Ù Û—ÙˆÙŽØ§Ù„Ù„Ù‘Ù°Ù‡Ù Ø®ÙŽÙŠÙ’Ø±Ù Ø§Ù„Ù’Ù…Ù°ÙƒÙØ±ÙÙŠÙ’Ù†ÙŽ à£–
Mereka (orang-orang kafir) membuat tipu daya dan Allah pun membalas tipu daya (mereka). Allah sebaik-baik pembalas tipu daya. (QS. Ali Imran Ayat 54)
Yuk mention juga, air mineral bebas afiliasi andalan mu di kolom komentar!
#BuyCut #BoyCott #Boikot #Aqua</t>
  </si>
  <si>
    <t>buycut, boycott, boikot, aqua</t>
  </si>
  <si>
    <t>tipu, daya, terbongkar, caracara, pastinya, prediksi, orangorang, kafir, tipu, daya, allah, membalas, tipu, daya, allah, sebaikbaik, pembalas, tipu, daya, qs, ali, imran, ayat, yuk, mention, air, mineral, bebas, afiliasi, andalan, mu, kolom, komentar</t>
  </si>
  <si>
    <t>video, inspeksi, dedi, mulyadi, kdm, pabrik, aqua, viral, media, sosial, menampilkan, sumur, kedalaman, meter, gubernur, jawa, barat, klarifikasi, pernyataan, menanggapi, spekulasi, publik, air, produksi, aqua, memicu, perdebatan, media, sosial</t>
  </si>
  <si>
    <t>tempodotco, tempo, aqua, air, minum, bpkn</t>
  </si>
  <si>
    <t>ketua, badan, perlindungan, konsumen, nasional, bpkn, mufti, mubarok, memanggil, manajemen, direktur, utama, pt, tirta, investama, produsen, air, minum, kemasan, merek, aqua, rencana, pemanggilan, muncul, dugaan, sumber, air, produksi, berasal, sumur, bor, air, tanah, mata, air, pegunungan, diklaim, iklan, produk, mufti, bpkn, tanggung, moral, hukum, konsumen, disesatkan, informasi, menyesatkan, bpkn, berkoordinasi, badan, pengawas, obat, makanan, bpom, kementerian, perindustrian, memeriksa, izin, sumber, air, pelanggaran, standar, mutu, air, minum, kemasan, amdk, baca, selengkapnya, tempoco, link, in, bio</t>
  </si>
  <si>
    <t>mampir, pabrik, aqua, ah</t>
  </si>
  <si>
    <t>millenialeducation, suksesbutuhperjuangan, carajualanonline, bisnismillenial</t>
  </si>
  <si>
    <t>barubaru, gubernur, jawa, barat, dedi, mulyadi, kdm, bikin, heboh, mengungkap, fakta, mengejutkan, sumber, air, minum, kemasan, amdk, video, sidaknya, diunggah, youtube, kdm, menemukan, air, kemasan, diklaim, berasal, mata, air, pegunungan, diambil, sumur, bor, artesis, pengeboran, tanah, meter, temuan, memicu, kekhawatiran, eksploitasi, air, tanah, riset, daerah, industri, air, minum, muka, air, tanah, turun, meter, data, mencatat, danoneaqua, menyedot, megaliter, ribu, meter, kubik, akuifer, vulkanik, tua, butuh, pulih, hukum, legal, publik, keberlanjutan, lingkungan, kejujuran, label, produk, iklan, menampilkan, kesan, air, alami, pegunungan, kenyataannya, hasil, boran, industri, warganet, langsung, ramai, tertipu, mikir, ulang, air, galon, minum, gimana, tanggapan, komen, yaa, silahkan, tag, teman, cerita, menjangkau, orang, info, follow, bisnismillenial, dapatkan, pembelajaran</t>
  </si>
  <si>
    <t>sumbar, sumatrabarat, sumbarkita, peristiwa, breakingnews, tenggelam, pantaipadang</t>
  </si>
  <si>
    <t>tim, sar, gabungan, menemukan, korban, terseret, ombak, pantai, padang, meninggal, dunia, senin, pagi, korban, bernama, mersel, pelajar, berdomisili, kelurahan, berok, nipah, kecamatan, padang, barat, kepala, kantor, pencarian, pertolongan, basarnas, padang, abdul, malik, laporannya, korban, ditemukan, wib, berjarak, meter, lokasi, dilaporkan, hilang, korban, nama, mersel, berhasil, ditemukan, tim, sar, gabungan, meninggal, dunia, dievakuasi, jenzah, langsung, dibawa, rumah, duka, operasi, pencarian, melibatkan, search, and, rescue, unit, sru, penyisiran, sektorsektor, berbeda, unsur, sar, gabungan, terlibat, basarnas, padang, tni, polairud, bpbd, damkar, satpol, pp, pmi, komunitas, jetski, seadoo, ksb, padang, barat, masyarakat, peralatan, rib, padang, rib, satrol, lcr, jetski, drone, thermal, aqua, eye, perahu, nelayan, korban, ditemukan, debriefing, unsur, gabungan, operasi, dinyatakan, selesai, diusulkan, ditutup, wib, operasi, pencarian, minggu, malam, basarnas, menerima, laporan, pusdalops, bpbd, kota, padang, wib, mersel, dilaporkan, terseret, ombak, mandi, pantai, bermain, bola, temantemannya, baca, berita, informasi, menarik, seputar, sumatera, barat, wwwsumbarkitaid, sanak, klik, link, bio, lupa, tag, sumbarkitaid, informasi, menarik, peristiwa, terkini</t>
  </si>
  <si>
    <t>highprotectionlighttexture, biorÃ©uv, sunscreen, straykids, skz, skzoo, sunlightisyourspotlight</t>
  </si>
  <si>
    <t>coba, kasih, love, bomb, komen, kalo, suka, olahraga, outdoor, olahraga, outdoor, pengen, kulit, terproteksi, uv, nyaman, untungnya, biore, uv, aqua, rich, tekstur, ringan, proteksi, maksimal, highlevel, performance, sunscreen, nemenin, shine, under, the, spotlight</t>
  </si>
  <si>
    <t>sumbar, sumatrabarat, sumbarkita, hukum, kriminal, kriminalupdate</t>
  </si>
  <si>
    <t>polisi, menangkap, pelaku, pembkaran, hiduphidup, asril, wahyudi, sopir, kabupaten, solok, selatan, sumatera, barat, ditemukan, tews, terbkar, truk, kabupaten, ogan, ilir, sumatera, selatan, senin, kabid, humas, polda, sumatera, selatan, kombes, pol, nandang, mumin, wijaya, menangkap, pelaku, inisial, as, rs, a, oktober, pelaku, berhasil, ditangkap, ditetapkan, tersangka, dpo, identitasnya, kantongi, dihubungi, sumbarkita, selasa, melanjutkan, menangkap, pelaku, mengamankan, barang, bukti, unit, mobil, tronton, merek, hino, warna, putih, nomor, polisi, b, uiu, terbkar, buah, botol, aqua, bekas, mengambil, minyak, mobil, tangki, mobil, menyiramkan, korban, mobil, unit, handphone, korban, terbkar, kunjungi, web, sumbarkita, berita, selengkapnya, baca, berita, informasi, menarik, seputar, sumatera, barat, wwwsumbarkitaid, sanak, klik, link, bio, lupa, tag, sumbarkitaid, informasi, menarik, peristiwa, terkini</t>
  </si>
  <si>
    <t>infomalangan</t>
  </si>
  <si>
    <t>malang, 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bermunculan, merek, harga, terjangkau, aqua, jarang, diminati, brand, aqua, jarang, diminati, murah, salah, konsumen, kota, malang, abel, mengaku, membeli, aqua, menilai, informasi, beredar, media, sosial, penggunaan, air, sumur, bor, membuatnya, enggan, membeli, produk, sumber, times, indonesia</t>
  </si>
  <si>
    <t>airkemasan, airminum, aqua, dedimulyadi, gubernurjabar, pabrikaqua, mataair, sumurbor, antaranewscom</t>
  </si>
  <si>
    <t>gubernur, jawa, barat, dedi, mulyadi, kdm, temuan, mengejutkan, oktober, menyebut, air, minum, kemasan, amdk, salah, merek, bersumber, mata, air, alami, berasal, hasil, pengeboran, air, tanah, kedalaman, meter, permukaan, bumi, data, danone, aqua, mengambil, megaliter, air, tanah, setara, ribu, meter, kubik, akibatnya, wilayah, penurunan, muka, air, tanah, meter, tanah, amblas, sentimeter, kawasan, industri, air, minum, warga, pabrik, jawa, barat, jawa, timur, merasakan, dampaknya, sumur, menipis, sawah, mengering, musim, kemarau, air, tanah, warisan, kehidupan, diam, habis, bumi, retak, kdm, temuan, izin, hak, publik, air, sumber, kehidupan, dilindungi, kepentingan, video, youtubekang, dedi, mulyadi, channel, editor, indita</t>
  </si>
  <si>
    <t>gubernur, jawa, barat, dedi, mulyadi, kdm, menemukan, fakta, miris, inspeksi, mendadak, sidak, pabrik, air, mineral, kemasan, merek, aqua, subang, sidak, menyusul, kecelakaan, maut, melibatkan, truk, tronton, bermuatan, aqua, wilayah, subang, menewaskan, orang, melibatkan, enam, kendaraan, kdm, menemukan, praktik, eksploitasi, tenaga, kerja, penggunaan, armada, tua, muatan, diduga, pemicu, keclakan, fakta, mengejutkan, upah, diterima, sopir, kakek, sopir, truk, upah, rp, mengangkut, ton, galon, air, mineral, batas, normalnya, ton, ironisnya, tenaga, sopir, diperas, kali, lipat, upah, harian, mengisi, tangki, solar, truk, dikendarai, sidak, kdm, mendapati, kondisi, truk, dipakai, mengangkut, air, mineral, truk, tronton, terlibat, kecelakaan, maut, keluaran, mengangkut, beban, ton, air, mineral, melebihi, batas, standar, temuan, dedi, mulyadi, melontarkan, teguran, keras, perusahaan, menilai, perusahaan, malu, angkutan, menawarkan, harga, murah, memiliki, risiko, keselamatan</t>
  </si>
  <si>
    <t>Jagat maya tengah ramai memperbincangkan video sidak yang dilakukan oleh Gubernur Jawa Barat, Dedi Mulyadi, ke salah satu pabrik air mineral di Subang, Jawa Barat.
Dalam video yang viral di media sosial itu, Dedi, yang akrab disapa KDM, mempertanyakan klaim iklan air pegunungan alami yang selama ini menjadi identitas kuat merek air mineral dalam kemasan (AMDK) terbesar di Indonesia tersebut.
Awalnya, KDM mempersoalkan jalan provinsi yang digunakan oleh perusahaan. "Jalan yang bagus dibangun provinsi tiap hari, ini hanya akan membahagiakan PT AQUA,"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â€œAir Pegunungan, Tapi dari Sumur Bor?â€ tanya KDM.
Pihak perusahaan menjelaskan bahwa proses pengeboran tersebut dilakukan untuk mendapatkan air dari lapisan tanah paling murni, yang dianggap memiliki kualitas terbaik untuk konsumsi. Namun, klarifikasi itu justru memicu perdebatan sengit di dunia maya.
Berita disadur dari: Jawapos.com I Rian Alfianto I Kamis, 23 Oktober 2025 I 09;59 WIB
?? YT/kangdedimulyadichannel</t>
  </si>
  <si>
    <t>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air, pegunungan, sumur, bor, kdm, perusahaan, proses, pengeboran, air, lapisan, tanah, murni, dianggap, memiliki, kualitas, terbaik, konsumsi, klarifikasi, memicu, perdebatan, sengit, dunia, maya, berita, disadur, jawaposcom, i, rian, alfianto, i, kamis, oktober, i, wib, ytkangdedimulyadichannel</t>
  </si>
  <si>
    <t>styloy2kseries, aquabreeze, hondastylo160, 160upgradeyourpride, hondabali</t>
  </si>
  <si>
    <t>fallin, in, love, stylo, yk, series, aqua, breeze, warnanya, adem, gayanya, keren, vibesnya, tuh, yk, banget, bikin, susah, move, on, lihat, udah, cobain, komen, tim, aqua, breeze, hondafansbali</t>
  </si>
  <si>
    <t>hallo, biore, uv, kesehariannya, commuting, suka, risih, teriknya, matahari, tenang, biore, uv, aqua, rich, kalo, high, protection, sunscreen, berat, sunscreen, ringan, nyaman, dipakai, its, totally, a, highlevel, performance, sunscreen, that, keeps, you, confident, to, shine, under, the, spotlight</t>
  </si>
  <si>
    <t>republika, cekrepublikaaja, kdm</t>
  </si>
  <si>
    <t>ramai, sumur, bor, aqua, gubernur, jawa, barat, dedi, mulyadi, menyoroti, truk, pembawa, galon, video, unggah, media, sosialnya, dedi, berat, muatan, dibawa, truk, milik, aqua, pegawai, menjawa, ton, truk, semestinya, membawa, muatan, seberat, ton, akibatnya, dedimulyadi, truk, kelebihan, muatan, jalan, rusak, produser, eko, supriyadi, kreator, pangeran, arga</t>
  </si>
  <si>
    <t>inilahnews, aqua, airsumurbor, aquasumurbor, airmineral, kdm, dedimulyadi, inilahcom, titiktengah, titikcerah</t>
  </si>
  <si>
    <t>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selengkapnya, kunjungi, website, klik, link, bio, download, aplikasi, appstore, google, play, store</t>
  </si>
  <si>
    <t>tabrak, lari, al, azhar, pogung, korban, harap, pelaku, itikad, yogyakarta, insiden, tabrak, lari, al, azhar, pogung, sleman, selasa, sore, wib, korban, pengendara, mobil, berwarna, putih, mengalami, kerusakan, parah, samping, kanan, akibat, terserempet, mobil, pickup, pengangkut, galon, air, aqua, keterangan, korban, kendaraan, pelaku, langsung, melarikan, kejadian, pertanggungjawaban, berharap, pelaku, postingan, itikad, baiknya, korban, pesan, redaksi, foto, diterima, sisi, kanan, kendaraan, korban, mengalami, baret, penyok, spion, patah, akibat, benturan, warga, diimbau, keberadaan, pickup, pengangkut, galon, air, melintas, pogung, al, azhar, kejadian, informasi, berwajib, menghubungi, korban, langsung</t>
  </si>
  <si>
    <t>inews, aqua</t>
  </si>
  <si>
    <t>aqua, mendengar, menghargai, aqua, hadir, dekade, senantiasa, berkomitmen, mengedepankan, kualitas, produk, standar, operasional, aqua, berupaya, informasi, edukasi, akurat, kekhawatiran, beredar, semoga, video, misinformasi, beredar, diluruskan, terima, kasih, kepercayaan, dukungan, sahabat, keluarga, aqua</t>
  </si>
  <si>
    <t>boycott, buycut, aqua, vit, evian</t>
  </si>
  <si>
    <t>benerbener, deh, aqua, dimanamana, gak, disukai, semoga, brand, lokal, cepat, gantikan, saudara, nya, vit, evian, aamiin, tulis, brand, mineral, lokal, favoritmu, kolom, komentar</t>
  </si>
  <si>
    <t>kementerian, esdm, buka, suara, perihal, polemik, sumber, air, produsen, air, minum, kemasan, amdk, aqua, air, sumur, bor, mata, air, wakil, menteri, esdm, yuliot, tanjung, kegiatan, pengambilan, air, tanah, perusahaan, air, minum, kemasan, diatur, peraturan, menteri, esdm, aturan, peraturan, menteri, esdm, no, penyelenggaraan, izin, pengusahaan, air, tanah, persetujuan, air, tanah, proses, perizinannya, detailkan, permen, implementasinya, badan, geologi, yuliot, kementerian, esdm, jumat</t>
  </si>
  <si>
    <t>gubernur, jawa, barat, kang, dedi, mulyadi, kdm, menyambangi, pabrik, aqua, subang, bercengkarama, karyawan, niat, menjelekan, aqua</t>
  </si>
  <si>
    <t>inspeksi, mendadak, gubernur, jawa, barat, dedi, mulyadi, pabrik, aqua, kawasan, subang, jawa, barat, mengungkap, fakta, mengejutkan, produk, air, mineral, air, mineral, dipasarkan, dipersepsikan, publik, berasal, mata, air, pegunungan, alami, sumber, utamanya, sumur, bor, video, diunggah, kanal, youtube, kdm, channel, dedi, mulyadi, lokasi, pabrik, bertemu, pimpinan, perusahaan, pabrik, manajer, mengikuti, acara, kepala, pabrik, manajernya, meeting, perempuan, perwakilan, perusahaan, unggahan, konten, youtube, kang, dedi, mulyadi, selasa, oktober, berhenti, situ, dedi, mulyadi, lokasi, pengambilan, sumber, air, pabrik, aqua, berjalan, area, pabrik, menyoroti, kondisi, lingkungan, dinilainya, rawan, longsor, mengaitkannya, aktivitas, industri, keterkejutan, dedi, mulyadi, memuncak, sumber, air, pabrik, aqua, produk, air, mineralnya, air, diambil, teknologi, sumur, bor, kedalaman, mencapai, meter, mendengar, fakta, gubernur, akrab, disapa, kang, dedi, mulyadi, terdiam, oh, airnya, dibor, air, permukaan, air, mata, air, mata, air, sumur, pompa, dedi, mulyadi, ekspresi, terkejut, perusahaan, lantas, pengambilan, air, lapisan, tanah, kualitas, air, terbaik, air, tanah, kualitas, bagus, staf, pabrik, dedi, mulyadi, menyoroti, implikasi, luas, aktivitas, pengeboran, skala, perusahaan, aqua, kawasan, pegunungan, mengaitkan, praktik, perubahan, tata, air, menyebabkan, bencana, ekologis, wilayah, daerah, kasomalang, subang, banjir, menandakan, lingkungan, serius, dibenahi, menyiratkan, eksploitasi, air, tanah, salah, penyebabnya, sidak, membuka, mata, publik, proses, produksi, air, mineral, kemasan, dikonsumsi, masayarakat</t>
  </si>
  <si>
    <t>infocileungsiid, cileungsiviral, infocileungsi, bogor</t>
  </si>
  <si>
    <t>sumber, mata, air, alami, pegunungan, sumur, bor, 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t>
  </si>
  <si>
    <t>aqua, esdm, dedimulyadi, airtanah, beritaterkini, lingkunganhidup, amdk, kabarnasional</t>
  </si>
  <si>
    <t>kementerian, energi, sumber, daya, mineral, esdm, menanggapi, polemik, sumber, air, produsen, air, minum, kemasan, amdk, aqua, gubernur, jawa, barat, dedi, mulyadi, menyoroti, praktik, pengambilan, air, perusahaan, wakil, menteri, esdm, yuliot, tanjung, kegiatan, pengambilan, air, tanah, perusahaan, diatur, ketat, peraturan, menteri, diawasi, langsung, badan, geologi, ditemukan, pelanggaran, izin, ketidaksesuaian, kegiatan, pengambilan, air, dihentikan, sesuai, kondisi, lapangan, dedi, mulyadi, unggahan, kanal, youtube, kang, dedi, mulyadi, channel, mengaku, terkejut, sumber, air, aqua, berasal, sumur, kedalaman, meter, menurutnya, publik, air, berasal, air, permukaan, pernyataan, memicu, diskusi, luas, media, sosial, transparansi, keberlanjutan, pengelolaan, sumber, daya, air, industri, air, minum, kemasan, naskah, desain, asep, suherman</t>
  </si>
  <si>
    <t>republika, cekrepublikaaja</t>
  </si>
  <si>
    <t>kecelakaan, beruntun, melibatkan, truk, minibus, sepeda, motor, jalan, raya, jurusan, bandungsubang, kampung, cileleuy, desa, gunungtua, kecamatan, cijambe, kabupaten, subang, kamis, oktober, siang, akibatnya, orang, meninggal, dunia, lokasi, kejadian, kabid, humas, polda, jawa, barat, kombes, pol, hendra, rochmawan, kecelakaan, beruntun, melibatkan, truk, tronton, minibus, avanza, pick, up, minibus, swift, minibus, calya, sepeda, motor, pcx, akibat, kejadian, orang, korban, meninggal, dunia, orang, penumpang, pick, up, minah, nuriah, imih, meninggal, dunia, hendra, kamis, oktober, sopirnya, endang, sunarya, orang, penumpang, nurhasanah, elis, roahaeti, putri, kaila, mengalami, lukaluka, pengendara, pcx, aah, kurnaningsih, penumpangnya, ida, mengalami, luka, dibawa, rsud, ciereng, subang, kendaraan, terlibat, kecelakaan, diamankan, kantor, kepolisian, polres, subang, mengalami, luka, ringan, orang, hendra, truk, tronton, dikemudikan, d, bermuatan, air, mineral, aqua, arah, selatan, bandung, utara, subang, melaju, jalan, menurun, menabrak, minibus, avanza, dikemudikan, dj, truk, tronton, menabrak, kendaraan, dikemudikan, didin, menabrak, pick, up, membawa, orang, penumpang, pick, up, menabrak, minibus, swift, menabrak, pcx, tronton, menabrak, minibus, calya, petugas, olah, kejadian, perkara, memeriksa, saksi, mengamankan, barang, bukti, mengevakuasi, korban, reporter, m, fauzi, ridwan, produser, eko, supriyadi, kreator, hirzi</t>
  </si>
  <si>
    <t>dedimulyadi, aquadarisumurbor, danone</t>
  </si>
  <si>
    <t>gubernur, jawa, barat, dedi, mulyadi, sidak, pabrik, air, mineral, aqua, kabupaten, subang, selasa, oktober, kunjungan, dedi, menemukan, fakta, mengejutkan, air, aqua, berasal, sumur, bor, mata, air, pegunungan, diyakini, masyarakat, temuan, langsung, perbincangan, hangat, media, sosial, konsumen, kecewa, tertipu, klaim, air, pegunungan, promosi, aqua, melayangkan, protes, video, unggah, media, sosial, menanggapi, viralnya, temuan, manajemen, danone, produsen, aqua, air, aqua, berasal, sumber, air, pegunungan, terlindungi, air, permukaan, danone, air, diambil, akuifer, kedalaman, meter, air, tanah, dangkal, selengkapnya, ayobandungcom, link, bio, reporter, dina, miladina, dewimulyani</t>
  </si>
  <si>
    <t>manajemen, danone, indonesia, buka, suara, terkait, konten, dedi, mulyadi, viral, sidak, pabrik, aqua,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air, permukaan, air, tanah, dangkal, pernyataan, danone, danone, air, akuifer, terlindungi, alami, proses, seleksi, kajian, ilmiah, titik, sumber, bersifat, selfflowing, mengalir, alami, danone, proses, tim, ahli, disiplin, ilmu, geologi, hidrogeologi, geofisika, mikrobiologi, akuifer, terlindungi, alami, lapisan, kedap, air, bebas, kontaminasi, aktivitas, manusia, mengganggu, penggunaan, air, masyarakat, danone, perusahaan, penentuan, titik, sumber, air, aqua, melewati, kajian, dampak, lingkungan, masyarakat, hasil, studi, hidrogeologi, universitas, gadjah, mada, ugm, universitas, padjadjaran, unpad, mengonfirmasi, sumber, air, aqua, bersinggungan, air, masyarakat</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</si>
  <si>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t>
  </si>
  <si>
    <t>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salah, konsumen, kota, malang, abel, mengaku, membeli, aqua, menilai, informasi, beredar, media, sosial, penggunaan, air, sumur, bor, membuatnya, enggan, membeli, produk, jarang, beli, aqua, suka, le, minerale, cleo, medsos, aqua, sumur, bor, ya, gak, beli, abel, tim, air, mineral, merek, rek, sumber, times, indonesia</t>
  </si>
  <si>
    <t>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kang, dedi, mulyadi, jawa, post, kirim, berita, silahkan, dm, wa</t>
  </si>
  <si>
    <t>cimahibanget, cimahigaul</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</si>
  <si>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wargi, cimahi</t>
  </si>
  <si>
    <t>netizen, menunding, sumber, air, aqua, sesuai, klaim, air, pegunungan, berasal, sumur, bor, pakar, ugm, menyebut, air, pegunungan, gunung</t>
  </si>
  <si>
    <t>cekrepublikaaja, republika</t>
  </si>
  <si>
    <t>remaja, kota, tegal, jawa, hilang, tenggelam, sungai, gung, kamis, oktober, insiden, konten, melompat, jembatan, terjun, sungai, bernama, septian, wahyu, r, tegalsari, kecamatan, tegal, barat, nata, qolbi, hidayat, panggung, kecamatan, tegal, timur, insiden, menimpa, kamis, sore, wib, septian, nata, ketiga, temannya, konten, melompat, jembatan, terjun, sungai, gung, septian, nata, melompat, temannya, berkumpul, tepi, sungai, merekam, aksi, melompat, terjun, sungai, septian, nata, berenang, perlahanlahan, tenggelam, ketiga, temannya, tepi, sungai, dilanda, kepanikan, berani, menolong, mahir, berenang, ketiganya, lantas, mencari, pertolongan, warga, warga, menginformasikan, kejadian, unit, siaga, sar, uss, pemalang, kantor, sar, semarang, wib, menerima, informasi, kejadian, orang, tenggelam, langsung, kirimkan, tim, uss, pemalang, dilengkapi, peralatan, selam, aqua, eye, pencarian, kepala, basarnas, kantor, sar, semarang, budiono, lokasi, basarnas, tim, sar, gabungan, pencarian, korban, menyelam, lokasi, septian, nata, melompat, jenbatan, wib, berhasil, ditemukan, tim, terkendala, banyaknya, palung, penerangan, minim, operasi, sar, hentikan, lanjutkan, besok, pagi, budiono, kreator, hirzi, produser, ronggo, astungkoro</t>
  </si>
  <si>
    <t>highprotectionlighttexture, bioreuvaquarich, sunlightisyourspotlight</t>
  </si>
  <si>
    <t>let, the, sunlight, be, your, spotlight, ruangan, sunscreen, udah, kayak, bestie, pakai, idbiore, uv, aqua, rich, watery, essence, spf, pa, sunscreen, no, jepang, high, protection, light, texture, in, one, product, teksturnya, super, ringan, cepat, nyerap, gak, whitecast, hyaluronic, acid, royal, jelly, extract, biar, kulit, tetep, lembap, sehat</t>
  </si>
  <si>
    <t>siang, tumpahan, oli, kawasan, jalan, jombang, raya, pondok, pucung, titik, kenal, gudang, aqua, tangsel, mengakibatkan, terjatuhnya, pengendara, kendaraan, roda, laporan, warga, damkar, kota, tangerang, selatan, merespondan, menerjunkan, unit, menyemprotkan, tumpahan, oli, jalan, selesai, pembersihan, redkar, bpdb, karang, taruna, pd, aren, minggu, oktober, via, namaakuu</t>
  </si>
  <si>
    <t>Produsen air minum dalam kemasan (AMDK) Aqua, PT Tirta Investama, segera merilis klarifikasi resmi menyusul viralnya video kunjungan Gubernur Jawa Barat Dedi Mulyadi (KDM) ke pabrik mereka di Subang. Klarifikasi ini bertujuan meluruskan informasi yang beredar di media sosial yang menyebut Aqua menggunakan air dari sumur bor biasa alih-alih air pegunungan, serta menyoroti isu pajak dan dampak lingkungan.
Dalam video terbarunya, KDM sempat terkejut saat mengetahui sumber air Aqua berasal dari empat sumur sedalam lebih dari 100 meter, yang selama ini dipahaminya sebagai air permukaan.
Menanggapi temuan tersebut, Aqua membantah keras tuduhan menggunakan sumur bor biasa. Perusahaan menegaskan bahwa mereka mengambil air dari akuifer dalam yang merupakan bagian tak terpisahkan dari sistem hidrogeologi pegunungan. Sumber air ini, diklaim Aqua, terlindungi secara alami dan telah melalui proses seleksi serta kajian ilmiah mendalam oleh para ahli dari UGM dan Unpad.
Aqua juga meyakinkan publik bahwa pengambilan air tidak mengganggu sumber air masyarakat karena berasal dari lapisan yang terpisah dan tidak bersinggungan dengan air permukaan yang digunakan warga. Proses ekstraksi ini dilakukan sesuai izin pemerintah dan diawasi secara berkala oleh instansi terkait, seperti Badan Geologi Kementerian ESDM.
Selain menjamin operasinya tidak menyebabkan pergeseran tanah atau longsor berdasarkan kajian bersama UGM, perusahaan menyatakan aktif menjalankan konservasi lingkungan.
Terkait isu regulasi, Aqua menegaskan komitmen penuh pada transparansi dan integritas. Perusahaan menyatakan telah mengantongi SIPA (Surat Izin Pengusahaan Air Tanah), hanya mengambil air sesuai dengan kuota yang ditetapkan, dan volume air yang diambil dilaporkan secara transparan serta diaudit oleh pemerintah.
Aqua juga menyatakan secara konsisten dan transparan memenuhi seluruh kewajiban perpajakan dan retribusi atas pengambilan air sesuai dengan peraturan yang berlaku, dengan pembayaran dilakukan secara resmi di Direktorat Jenderal Pajak.
#kdm #dedimulyadi #aqua #majalengka #infomjlk #mjlk #medianaurangmajalengka #jawabarat #indonesia</t>
  </si>
  <si>
    <t>kdm, dedimulyadi, aqua, majalengka, infomjlk, mjlk, medianaurangmajalengka, jawabarat, indonesia</t>
  </si>
  <si>
    <t>produsen, air, minum, kemasan, amdk, aqua, pt, tirta, investama, merilis, klarifikasi, resmi, menyusul, viralnya, video, kunjungan, gubernur, jawa, barat, dedi, mulyadi, kdm, pabrik, subang, klarifikasi, bertujuan, meluruskan, informasi, beredar, media, sosial, menyebut, aqua, air, sumur, bor, alihalih, air, pegunungan, menyoroti, isu, pajak, dampak, lingkungan, video, terbarunya, kdm, terkejut, sumber, air, aqua, berasal, sumur, sedalam, meter, dipahaminya, air, permukaan, menanggapi, temuan, aqua, membantah, keras, tuduhan, sumur, bor, perusahaan, mengambil, air, akuifer, terpisahkan, sistem, hidrogeologi, pegunungan, sumber, air, diklaim, aqua, terlindungi, alami, proses, seleksi, kajian, ilmiah, mendalam, ahli, ugm, unpad, aqua, publik, pengambilan, air, mengganggu, sumber, air, masyarakat, berasal, lapisan, terpisah, bersinggungan, air, permukaan, warga, proses, ekstraksi, sesuai, izin, pemerintah, diawasi, berkala, instansi, terkait, badan, geologi, kementerian, esdm, menjamin, operasinya, menyebabkan, pergeseran, tanah, longsor, berdasarkan, kajian, ugm, perusahaan, aktif, menjalankan, konservasi, lingkungan, terkait, isu, regulasi, aqua, komitmen, penuh, transparansi, integritas, perusahaan, mengantongi, sipa, surat, izin, pengusahaan, air, tanah, mengambil, air, sesuai, kuota, ditetapkan, volume, air, diambil, dilaporkan, transparan, diaudit, pemerintah, aqua, konsisten, transparan, memenuhi, kewajiban, perpajakan, retribusi, pengambilan, air, sesuai, peraturan, berlaku, pembayaran, resmi, direktorat, jenderal, pajak</t>
  </si>
  <si>
    <t>Whats Hot Mumbai</t>
  </si>
  <si>
    <t>it, takes, a, whole, village, mumbai, mumbai, metro, mumbai, metro, aqua, line, mumbai, city, mumbai, news, metro, inauguration, mumbai, metro, line, aqua, line</t>
  </si>
  <si>
    <t>konten, video, kanal, youtube, kang, dedi, mulyadi, channel, kdm, viral, disorot, publik, video, gubernur, jawa, barat, kunjungan, salah, lokasi, pengolahan, air, mineral, aqua, langsung, sumber, air, perusahaan, tayangan, dedi, air, berasal, sungai, mata, air, permukaan, ngambil, airnya, sungai, dedi, airnya, tanah, salah, staf, perusahaan, dedi, terkejut, ulang, air, benarbenar, berasal, tanah, proses, pengeboran, potensi, dampak, lingkungan, pengambilan, air, tanah, pergeseran, tanah, air, permukaan, sungai, mata, air, kategorinya, sumur, pompa, dedi, penjelasan, pabrik, kedalaman, sumur, bor, mencapai, meter, kedalamannya, meter, ya, meter, dedi, mencatat</t>
  </si>
  <si>
    <t>kdm, buycut, boycott, boikot, aqua</t>
  </si>
  <si>
    <t>dimanamana, bikin, heboh, terima, kasih, kang, dedi, mulyadi, membuka, buanyak, tabir, aqua, semoga, brand, mineral, lokal, jawa, barat, bertumbuh, menggantikan, brand, brand, terafiliasi</t>
  </si>
  <si>
    <t>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sumber, haluandotco</t>
  </si>
  <si>
    <t>pabrik, aqua, berlokasi, kaki, pegunungan, sumber, air, aqua, berasal, sumber, air, aqua, berasal, lapisan, akuifer, tertekan, terhubung, langsung, pegunungan, area, aqua, aktif, upaya, konservasi, mengembalikan, air, aqua, menanam, juta, pohon, ribu, biopori, ribu, rorak, inisiatif, yuk, sebarkan, informasi, menghindari, misinformasi</t>
  </si>
  <si>
    <t>dedimulyadi, demul, gubernurjawabarat, aqua, sumberair, airaqua, sidak, pabrikaqua, jawabarat, jabar, news, suaradotcom, suara</t>
  </si>
  <si>
    <t>sidak, gubernur, jawa, barat, dedi, mulyadi, salah, pabrik, air, mineral, subang, viral, media, sosial, pabrik, air, mineral, pabrik, air, minum, aqua, video, dibagikan, akun, youtube, dedi, mulyadi, mantan, bupati, purwarkarta, kaget, sumber, mata, air, diambil, pegunungan, bersumber, air, tanah, diambil, proses, bor, dedi, risiko, lingkungan, pegawai, perusahaan, kebingungan, dedi, video, viral, aqua, bikin, pernyataan, aqua, sumber, air, berasal, sumur, bor, lapisan, air, tanah, alami, teruji, ahli, aqua, pengambilan, air, izin, pemerintah, mengganggu, sumber, air, masyarakat</t>
  </si>
  <si>
    <t>aquaelektronik, aquasmarthome, globalno1</t>
  </si>
  <si>
    <t>menyatukan, semangat, sportivitas, haieraqua, badminton, regional, tournament, sukses, digelar, bali, sekedar, pertandingan, ajang, mempererat, kolaborasi, haieraqua, negara, asia</t>
  </si>
  <si>
    <t>mata, air, pegunungan, pabrik, aqua, subang, kedapatan, ambil, air, sumur, bor, pabrik, air, mineral, aqua, kabupaten, subang, jawa, barat, bahan, pembicaraan, masyarakat, lantaran, sumber, air, dijual, masyarakat, mata, air, pegunungan, terungkap, gubernur, jabar, dedi, mulyadi, inspeksi, mendadak, sidak, pt, tirta, investama, subang, senin, air, bersumber, pipa, bertekanan, sumur, bor, sedalam, meter, air, pegunungan, yakini, sumur, bor, dediakibatnya, muncul, kekhawatiran, potensi, dampak, lingkungan, pengambilan, air, tanah, besarbesaran, berujung, risiko, penurunan, muka, tanah, longsor, krisis, airterlebih, perusahaan, air, diambil, mencapai, juta, liter, hariitu, diperoleh, gratis, pabrik, semen, kain, otomotif, beli, bahan, baku, perusahaan, bahan, bakunya, beli, dedi, mantan, bupati, purwakarta, menyayangkan, pabrik, air, mineral, efeknya, mengkhawatirkan, masyarakat, air, diangkut, dijual, mahal, masyarakat, kekurangan, air, bersih, terkait, izin, pengambilan, air, tanah, operasional, perusahaan, aqua, wilayah, ditinjau, ulang, perusahaan, wajib, memperhatikan, izin, terkait, pengambilan, air, pelestarian, lingkungan, tanggung, jaab, sosial, warga, warga, mengaku, kerap, kesulitan, air, kemarau, warga, menduga, perusahaan, air, mineral, wilayah, sumber, permasalahan, artikel, inilahcom</t>
  </si>
  <si>
    <t>infolovesuroboyo, lovesuroboyo, aqua, sumurbor, airmineral</t>
  </si>
  <si>
    <t>faktafakta, sumber, air, aqua, viral, diduga, sumur, bor, air, mineral, kemasan, aqua, sorotan, sumber, airnya, diduga, berasal, sumur, bor, konten, youtube, gubernur, jawa, barat, dedi, mulyadi, konten, pengelola, menyebut, sumber, air, aqua, tanah, air, permukaan, dedi, air, udara, permukaan, air, tanah, diambil, staf, perusahaan, air, diambil, tanah, dibor, muka, terkejut, dedi, udara, diambil, tanah, dibor, sumber, udara, berasal, udara, permukaan, danone, pastikan, sumber, air, terlindungi, manajemen, danone, indonesia, buka, suara, terkait, konten, dedi, mulyadi, keterangan, tertulisnya, danone, sumber, udara, pakai, berasal, sumber, udara, pegunungan, terlindungi, air, aqua, berasal, sumber, air, pegunungan, tersebar, indonesia, sumber, air, dipilih, proses, seleksi, ketat, melibatkan, kriteria, ilmiah, tahapan, evaluasi, minimal, penelitian, keterangan, danone, danone, mengakui, sumber, airnya, berasal, permukaan, akuifer, kedalaman, meter, akuifer, terlindungi, alami, lapisan, kedap, air, bebas, kontaminasi, aktivitas, manusia, mengganggu, penggunaan, air, masyarakat, danone, berita, cnnindonesiacom</t>
  </si>
  <si>
    <t>klarifikasi, aqua, disidak, dedi, mulyadi, bersumber, sumur, bor, mata, air</t>
  </si>
  <si>
    <t>dedi, mulyadi, air, aqua, pegunungan, sumur, bor, akui, niat, menjelekkan, media, sosial, hebohkan, sumber, air, diambil, aqua, terungkap, gubernur, jabar, dedi, mulyadi, sidak, pabrik, aqua, kawasan, subang, jawa, barat, kunjungan, dedi, mulyadi, pabrik, aqua, menyita, perhatian, publik, sidak, ramai, dugaan, sumber, air, aqua, berasal, sumur, bor, pegunungan, butuh, kabar, sumber, air, aqua, sumur, bor, langsung, viral, media, sosial, kabar, viral, gubernur, jabar, dedi, mulyadi, angkat, bicara, gubernur, jawa, barat, dedi, mulyadi, kunjungan, pabrik, aqua, subang, mengakui, sumber, air, utama, aqua, mata, air, pegunungan, baca, selengkapnya, httpsbangkatribunnewscomnewsdedimulyadisebutairaquadaripegununganbukansumurborakuitakadaniatmenjelekkan</t>
  </si>
  <si>
    <t>aqua, dedimulyadi, sumberair, beritaterkini, tribunnews, tribunvideo</t>
  </si>
  <si>
    <t>aqua, klarifiksi, viral, garagara, disidak, dedi, mulyadi, tegaskan, sumber, air, pegunungan, baca, berita, selengkapnya, situs, videotribunnewscom</t>
  </si>
  <si>
    <t>bdginfo</t>
  </si>
  <si>
    <t>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via, muslimvox</t>
  </si>
  <si>
    <t>inspeksi, mendadak, gubernur, jawa, barat, dedi, mulyadi, pabrik, aqua, kawasan, subang, jawa, barat, mengungkap, fakta, mengejutkan, produk, air, mineral, air, mineral, dipasarkan, dipersepsikan, publik, berasal, mata, air, pegunungan, alami, sumber, utamanya, sumur, bor</t>
  </si>
  <si>
    <t>badan, perlindungan, konsumen, nasional, bpkn, ri, investigasi, memanggil, manajemen, pt, tirta, investama, terkait, isu, sumber, air, aqua, pasalnya, dugaan, sumber, air, dipakai, produksi, air, mineral, aqua, disebutsebut, berasal, mata, air, murni, sumur, bor, baca, berita, selengkapnya</t>
  </si>
  <si>
    <t>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t>
  </si>
  <si>
    <t>Row Labels</t>
  </si>
  <si>
    <t>Grand Total</t>
  </si>
  <si>
    <t>Count of sentimen</t>
  </si>
  <si>
    <t>Column Labels</t>
  </si>
  <si>
    <t>Count of Message</t>
  </si>
  <si>
    <t>Total</t>
  </si>
  <si>
    <t>Engagement</t>
  </si>
  <si>
    <t>Count of Profile-ID</t>
  </si>
  <si>
    <t>Nilai Brand</t>
  </si>
  <si>
    <t>Penjelasan</t>
  </si>
  <si>
    <t>Pendekatan Konten</t>
  </si>
  <si>
    <t>Keberlanjutan (Sustainability)</t>
  </si>
  <si>
    <t>Menjaga ekosistem air &amp; area resapan melalui konservasi dan reforestasi.</t>
  </si>
  <si>
    <t>Feature series “Penjaga Air Nusantara” di JawaPos.com.</t>
  </si>
  <si>
    <t>Transparansi (Integrity)</t>
  </si>
  <si>
    <t>Terbuka terhadap publik tentang proses pengambilan dan pengolahan air.</t>
  </si>
  <si>
    <t>Native ad “Dari Sumur ke Botol: Proses Air AQUA.”</t>
  </si>
  <si>
    <t>Kesehatan (Health &amp; Wellness)</t>
  </si>
  <si>
    <t>Air murni dan aman, mendukung gaya hidup sehat masyarakat.</t>
  </si>
  <si>
    <t>Kolaborasi artikel &amp; infografik dengan rubrik “Healthy Life”.</t>
  </si>
  <si>
    <t>Tanggung Jawab Sosial (Social Responsibility)</t>
  </si>
  <si>
    <t>Program CSR: penyediaan air bersih untuk desa, edukasi lingkungan.</t>
  </si>
  <si>
    <t>Video dokumenter singkat &amp; publikasi CSR di kanal Lifestyle.</t>
  </si>
  <si>
    <t>Format</t>
  </si>
  <si>
    <t>Tujuan</t>
  </si>
  <si>
    <t>Bentuk Implementasi</t>
  </si>
  <si>
    <t>Native Article Series</t>
  </si>
  <si>
    <t>Menyampaikan narasi transparan &amp; edukatif dengan tone jurnalistik.</t>
  </si>
  <si>
    <r>
      <t xml:space="preserve">3 seri artikel: </t>
    </r>
    <r>
      <rPr>
        <i/>
        <sz val="11"/>
        <color theme="1"/>
        <rFont val="Calibri"/>
        <family val="2"/>
        <scheme val="minor"/>
      </rPr>
      <t>Sumber Air Kita</t>
    </r>
    <r>
      <rPr>
        <sz val="11"/>
        <color theme="1"/>
        <rFont val="Calibri"/>
        <family val="2"/>
        <scheme val="minor"/>
      </rPr>
      <t xml:space="preserve">, </t>
    </r>
    <r>
      <rPr>
        <i/>
        <sz val="11"/>
        <color theme="1"/>
        <rFont val="Calibri"/>
        <family val="2"/>
        <scheme val="minor"/>
      </rPr>
      <t>Menjaga Alam Bersama AQUA</t>
    </r>
    <r>
      <rPr>
        <sz val="11"/>
        <color theme="1"/>
        <rFont val="Calibri"/>
        <family val="2"/>
        <scheme val="minor"/>
      </rPr>
      <t xml:space="preserve">, </t>
    </r>
    <r>
      <rPr>
        <i/>
        <sz val="11"/>
        <color theme="1"/>
        <rFont val="Calibri"/>
        <family val="2"/>
        <scheme val="minor"/>
      </rPr>
      <t>Air untuk Generasi Masa Depan</t>
    </r>
    <r>
      <rPr>
        <sz val="11"/>
        <color theme="1"/>
        <rFont val="Calibri"/>
        <family val="2"/>
        <scheme val="minor"/>
      </rPr>
      <t>.</t>
    </r>
  </si>
  <si>
    <t>Branded Video Feature (2–3 menit)</t>
  </si>
  <si>
    <t>Meningkatkan emotional connection dan kepercayaan.</t>
  </si>
  <si>
    <t>Cerita warga dan karyawan AQUA menjaga air di desa sumber.</t>
  </si>
  <si>
    <t>Interactive Infographic Banner</t>
  </si>
  <si>
    <t>Menarik perhatian pembaca di homepage.</t>
  </si>
  <si>
    <t>Animasi “Perjalanan Air AQUA dari Alam ke Botol.”</t>
  </si>
  <si>
    <t>CSR Microsite Collaboration</t>
  </si>
  <si>
    <t>Menunjukkan dampak sosial &amp; keberlanjutan.</t>
  </si>
  <si>
    <t>Laman khusus berisi peta digital program konservasi AQUA.</t>
  </si>
  <si>
    <t>Kanal</t>
  </si>
  <si>
    <t>Kelebihan</t>
  </si>
  <si>
    <t>Jenis Audiens</t>
  </si>
  <si>
    <t>Strategi Pemanfaatan</t>
  </si>
  <si>
    <t>Homepage &amp; News Feed</t>
  </si>
  <si>
    <t>Traffic tertinggi, 3 juta daily impressions.</t>
  </si>
  <si>
    <t>Audiens umum nasional.</t>
  </si>
  <si>
    <t>Native banner storytelling “Dari Alam, Untuk Kehidupan.”</t>
  </si>
  <si>
    <t>Rubrik Lifestyle &amp; Environment</t>
  </si>
  <si>
    <t>Pembaca loyal, engagement tinggi pada topik lingkungan &amp; kesehatan.</t>
  </si>
  <si>
    <t>Wanita 25–45 tahun, keluarga muda.</t>
  </si>
  <si>
    <t>Artikel berseri edukatif + infografik.</t>
  </si>
  <si>
    <t>JawaPos TV (YouTube &amp; portal video)</t>
  </si>
  <si>
    <t>Format visual, audiens muda.</t>
  </si>
  <si>
    <t>18–35 tahun, sosial media active users.</t>
  </si>
  <si>
    <t>Video mini dokumenter “Jejak Air AQUA”.</t>
  </si>
  <si>
    <t>Instagram JawaPos.com</t>
  </si>
  <si>
    <t>Engagement rate tinggi (4,2%).</t>
  </si>
  <si>
    <t>Urban millennial &amp; Gen Z.</t>
  </si>
  <si>
    <t>Carousel &amp; reels edukatif, kolaborasi influencer lingkungan.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</si>
</sst>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NumberFormat="1"/>
    <xf numFmtId="0" fontId="0" fillId="0" borderId="0" xfId="0" applyAlignment="1"/>
    <xf numFmtId="14" fontId="0" fillId="0" borderId="0" xfId="0" applyNumberFormat="1" applyAlignment="1"/>
    <xf numFmtId="10" fontId="0" fillId="0" borderId="0" xfId="0" applyNumberFormat="1" applyAlignment="1"/>
    <xf numFmtId="11" fontId="0" fillId="0" borderId="0" xfId="0" applyNumberFormat="1" applyAlignment="1"/>
    <xf numFmtId="164" fontId="0" fillId="0" borderId="0" xfId="0" applyNumberFormat="1" applyAlignment="1"/>
    <xf numFmtId="1" fontId="0" fillId="0" borderId="0" xfId="0" applyNumberFormat="1" applyAlignment="1"/>
    <xf numFmtId="0" fontId="0" fillId="0" borderId="0" xfId="0" quotePrefix="1" applyAlignment="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16" fillId="0" borderId="10" xfId="0" applyFont="1" applyBorder="1" applyAlignment="1">
      <alignment horizontal="center" vertical="center" wrapText="1"/>
    </xf>
    <xf numFmtId="0" fontId="16" fillId="0" borderId="10" xfId="0" applyFont="1" applyBorder="1" applyAlignment="1">
      <alignment vertical="center" wrapText="1"/>
    </xf>
    <xf numFmtId="0" fontId="0" fillId="0" borderId="10" xfId="0"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409]d\-mmm;@"/>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[data_visualisasi.xlsx]Tren!PivotTable1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Tren!$B$3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Tren!$A$4:$A$20</c:f>
              <c:strCache>
                <c:ptCount val="16"/>
                <c:pt idx="0">
                  <c:v>9-Oct</c:v>
                </c:pt>
                <c:pt idx="1">
                  <c:v>10-Oct</c:v>
                </c:pt>
                <c:pt idx="2">
                  <c:v>12-Oct</c:v>
                </c:pt>
                <c:pt idx="3">
                  <c:v>14-Oct</c:v>
                </c:pt>
                <c:pt idx="4">
                  <c:v>16-Oct</c:v>
                </c:pt>
                <c:pt idx="5">
                  <c:v>17-Oct</c:v>
                </c:pt>
                <c:pt idx="6">
                  <c:v>18-Oct</c:v>
                </c:pt>
                <c:pt idx="7">
                  <c:v>19-Oct</c:v>
                </c:pt>
                <c:pt idx="8">
                  <c:v>20-Oct</c:v>
                </c:pt>
                <c:pt idx="9">
                  <c:v>21-Oct</c:v>
                </c:pt>
                <c:pt idx="10">
                  <c:v>22-Oct</c:v>
                </c:pt>
                <c:pt idx="11">
                  <c:v>23-Oct</c:v>
                </c:pt>
                <c:pt idx="12">
                  <c:v>24-Oct</c:v>
                </c:pt>
                <c:pt idx="13">
                  <c:v>25-Oct</c:v>
                </c:pt>
                <c:pt idx="14">
                  <c:v>26-Oct</c:v>
                </c:pt>
                <c:pt idx="15">
                  <c:v>27-Oct</c:v>
                </c:pt>
              </c:strCache>
            </c:strRef>
          </c:cat>
          <c:val>
            <c:numRef>
              <c:f>Tren!$B$4:$B$20</c:f>
              <c:numCache>
                <c:formatCode>General</c:formatCode>
                <c:ptCount val="16"/>
                <c:pt idx="0">
                  <c:v>5</c:v>
                </c:pt>
                <c:pt idx="1">
                  <c:v>1</c:v>
                </c:pt>
                <c:pt idx="2">
                  <c:v>1</c:v>
                </c:pt>
                <c:pt idx="3">
                  <c:v>1</c:v>
                </c:pt>
                <c:pt idx="4">
                  <c:v>1</c:v>
                </c:pt>
                <c:pt idx="5">
                  <c:v>1</c:v>
                </c:pt>
                <c:pt idx="6">
                  <c:v>1</c:v>
                </c:pt>
                <c:pt idx="7">
                  <c:v>3</c:v>
                </c:pt>
                <c:pt idx="8">
                  <c:v>6</c:v>
                </c:pt>
                <c:pt idx="9">
                  <c:v>2</c:v>
                </c:pt>
                <c:pt idx="10">
                  <c:v>19</c:v>
                </c:pt>
                <c:pt idx="11">
                  <c:v>33</c:v>
                </c:pt>
                <c:pt idx="12">
                  <c:v>17</c:v>
                </c:pt>
                <c:pt idx="13">
                  <c:v>6</c:v>
                </c:pt>
                <c:pt idx="14">
                  <c:v>3</c:v>
                </c:pt>
                <c:pt idx="15">
                  <c:v>7</c:v>
                </c:pt>
              </c:numCache>
            </c:numRef>
          </c:val>
          <c:extLst>
            <c:ext xmlns:c16="http://schemas.microsoft.com/office/drawing/2014/chart" uri="{C3380CC4-5D6E-409C-BE32-E72D297353CC}">
              <c16:uniqueId val="{00000000-000E-4CFD-9AE0-99F68E90F606}"/>
            </c:ext>
          </c:extLst>
        </c:ser>
        <c:dLbls>
          <c:showLegendKey val="0"/>
          <c:showVal val="0"/>
          <c:showCatName val="0"/>
          <c:showSerName val="0"/>
          <c:showPercent val="0"/>
          <c:showBubbleSize val="0"/>
        </c:dLbls>
        <c:gapWidth val="40"/>
        <c:axId val="2012138912"/>
        <c:axId val="2012139392"/>
      </c:barChart>
      <c:catAx>
        <c:axId val="20121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12139392"/>
        <c:crosses val="autoZero"/>
        <c:auto val="1"/>
        <c:lblAlgn val="ctr"/>
        <c:lblOffset val="100"/>
        <c:noMultiLvlLbl val="0"/>
      </c:catAx>
      <c:valAx>
        <c:axId val="2012139392"/>
        <c:scaling>
          <c:orientation val="minMax"/>
        </c:scaling>
        <c:delete val="1"/>
        <c:axPos val="l"/>
        <c:numFmt formatCode="General" sourceLinked="1"/>
        <c:majorTickMark val="none"/>
        <c:minorTickMark val="none"/>
        <c:tickLblPos val="nextTo"/>
        <c:crossAx val="2012138912"/>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[data_visualisasi.xlsx]Sentimen!PivotTable1</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9.43740022187948E-2"/>
          <c:y val="7.9832783414340136E-2"/>
          <c:w val="0.81125199556241034"/>
          <c:h val="0.77224184072182345"/>
        </c:manualLayout>
      </c:layout>
      <c:doughnutChart>
        <c:varyColors val="1"/>
        <c:ser>
          <c:idx val="0"/>
          <c:order val="0"/>
          <c:tx>
            <c:strRef>
              <c:f>Sentimen!$B$3</c:f>
              <c:strCache>
                <c:ptCount val="1"/>
                <c:pt idx="0">
                  <c:v>Total</c:v>
                </c:pt>
              </c:strCache>
            </c:strRef>
          </c:tx>
          <c:explosion val="1"/>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2-0A5D-4DF7-BF24-574C4AB3D004}"/>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4-0A5D-4DF7-BF24-574C4AB3D004}"/>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0A5D-4DF7-BF24-574C4AB3D00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Sentimen!$A$4:$A$7</c:f>
              <c:strCache>
                <c:ptCount val="3"/>
                <c:pt idx="0">
                  <c:v>Negatif</c:v>
                </c:pt>
                <c:pt idx="1">
                  <c:v>Netral</c:v>
                </c:pt>
                <c:pt idx="2">
                  <c:v>Positif</c:v>
                </c:pt>
              </c:strCache>
            </c:strRef>
          </c:cat>
          <c:val>
            <c:numRef>
              <c:f>Sentimen!$B$4:$B$7</c:f>
              <c:numCache>
                <c:formatCode>General</c:formatCode>
                <c:ptCount val="3"/>
                <c:pt idx="0">
                  <c:v>17</c:v>
                </c:pt>
                <c:pt idx="1">
                  <c:v>69</c:v>
                </c:pt>
                <c:pt idx="2">
                  <c:v>21</c:v>
                </c:pt>
              </c:numCache>
            </c:numRef>
          </c:val>
          <c:extLst>
            <c:ext xmlns:c16="http://schemas.microsoft.com/office/drawing/2014/chart" uri="{C3380CC4-5D6E-409C-BE32-E72D297353CC}">
              <c16:uniqueId val="{00000000-0A5D-4DF7-BF24-574C4AB3D0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25395432529696677"/>
          <c:y val="0.87595527497237524"/>
          <c:w val="0.49049165246096815"/>
          <c:h val="0.108672750547987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[data_visualisasi.xlsx]Tren Sentimen!PivotTable2</c:name>
    <c:fmtId val="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375332896251E-3"/>
          <c:y val="9.0502691931089063E-2"/>
          <c:w val="0.98711249334207496"/>
          <c:h val="0.57711592665934641"/>
        </c:manualLayout>
      </c:layout>
      <c:barChart>
        <c:barDir val="col"/>
        <c:grouping val="clustered"/>
        <c:varyColors val="0"/>
        <c:ser>
          <c:idx val="0"/>
          <c:order val="0"/>
          <c:tx>
            <c:strRef>
              <c:f>'Tren Sentimen'!$B$3:$B$4</c:f>
              <c:strCache>
                <c:ptCount val="1"/>
                <c:pt idx="0">
                  <c:v>Negatif</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Sentimen'!$A$5:$A$21</c:f>
              <c:strCache>
                <c:ptCount val="16"/>
                <c:pt idx="0">
                  <c:v>9-Oct</c:v>
                </c:pt>
                <c:pt idx="1">
                  <c:v>10-Oct</c:v>
                </c:pt>
                <c:pt idx="2">
                  <c:v>12-Oct</c:v>
                </c:pt>
                <c:pt idx="3">
                  <c:v>14-Oct</c:v>
                </c:pt>
                <c:pt idx="4">
                  <c:v>16-Oct</c:v>
                </c:pt>
                <c:pt idx="5">
                  <c:v>17-Oct</c:v>
                </c:pt>
                <c:pt idx="6">
                  <c:v>18-Oct</c:v>
                </c:pt>
                <c:pt idx="7">
                  <c:v>19-Oct</c:v>
                </c:pt>
                <c:pt idx="8">
                  <c:v>20-Oct</c:v>
                </c:pt>
                <c:pt idx="9">
                  <c:v>21-Oct</c:v>
                </c:pt>
                <c:pt idx="10">
                  <c:v>22-Oct</c:v>
                </c:pt>
                <c:pt idx="11">
                  <c:v>23-Oct</c:v>
                </c:pt>
                <c:pt idx="12">
                  <c:v>24-Oct</c:v>
                </c:pt>
                <c:pt idx="13">
                  <c:v>25-Oct</c:v>
                </c:pt>
                <c:pt idx="14">
                  <c:v>26-Oct</c:v>
                </c:pt>
                <c:pt idx="15">
                  <c:v>27-Oct</c:v>
                </c:pt>
              </c:strCache>
            </c:strRef>
          </c:cat>
          <c:val>
            <c:numRef>
              <c:f>'Tren Sentimen'!$B$5:$B$21</c:f>
              <c:numCache>
                <c:formatCode>General</c:formatCode>
                <c:ptCount val="16"/>
                <c:pt idx="10">
                  <c:v>3</c:v>
                </c:pt>
                <c:pt idx="11">
                  <c:v>8</c:v>
                </c:pt>
                <c:pt idx="12">
                  <c:v>2</c:v>
                </c:pt>
                <c:pt idx="14">
                  <c:v>1</c:v>
                </c:pt>
                <c:pt idx="15">
                  <c:v>3</c:v>
                </c:pt>
              </c:numCache>
            </c:numRef>
          </c:val>
          <c:extLst>
            <c:ext xmlns:c16="http://schemas.microsoft.com/office/drawing/2014/chart" uri="{C3380CC4-5D6E-409C-BE32-E72D297353CC}">
              <c16:uniqueId val="{00000000-9C35-40FD-8CAE-E6E6C46939DA}"/>
            </c:ext>
          </c:extLst>
        </c:ser>
        <c:ser>
          <c:idx val="1"/>
          <c:order val="1"/>
          <c:tx>
            <c:strRef>
              <c:f>'Tren Sentimen'!$C$3:$C$4</c:f>
              <c:strCache>
                <c:ptCount val="1"/>
                <c:pt idx="0">
                  <c:v>Netral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Sentimen'!$A$5:$A$21</c:f>
              <c:strCache>
                <c:ptCount val="16"/>
                <c:pt idx="0">
                  <c:v>9-Oct</c:v>
                </c:pt>
                <c:pt idx="1">
                  <c:v>10-Oct</c:v>
                </c:pt>
                <c:pt idx="2">
                  <c:v>12-Oct</c:v>
                </c:pt>
                <c:pt idx="3">
                  <c:v>14-Oct</c:v>
                </c:pt>
                <c:pt idx="4">
                  <c:v>16-Oct</c:v>
                </c:pt>
                <c:pt idx="5">
                  <c:v>17-Oct</c:v>
                </c:pt>
                <c:pt idx="6">
                  <c:v>18-Oct</c:v>
                </c:pt>
                <c:pt idx="7">
                  <c:v>19-Oct</c:v>
                </c:pt>
                <c:pt idx="8">
                  <c:v>20-Oct</c:v>
                </c:pt>
                <c:pt idx="9">
                  <c:v>21-Oct</c:v>
                </c:pt>
                <c:pt idx="10">
                  <c:v>22-Oct</c:v>
                </c:pt>
                <c:pt idx="11">
                  <c:v>23-Oct</c:v>
                </c:pt>
                <c:pt idx="12">
                  <c:v>24-Oct</c:v>
                </c:pt>
                <c:pt idx="13">
                  <c:v>25-Oct</c:v>
                </c:pt>
                <c:pt idx="14">
                  <c:v>26-Oct</c:v>
                </c:pt>
                <c:pt idx="15">
                  <c:v>27-Oct</c:v>
                </c:pt>
              </c:strCache>
            </c:strRef>
          </c:cat>
          <c:val>
            <c:numRef>
              <c:f>'Tren Sentimen'!$C$5:$C$21</c:f>
              <c:numCache>
                <c:formatCode>General</c:formatCode>
                <c:ptCount val="16"/>
                <c:pt idx="0">
                  <c:v>2</c:v>
                </c:pt>
                <c:pt idx="1">
                  <c:v>1</c:v>
                </c:pt>
                <c:pt idx="2">
                  <c:v>1</c:v>
                </c:pt>
                <c:pt idx="3">
                  <c:v>1</c:v>
                </c:pt>
                <c:pt idx="4">
                  <c:v>1</c:v>
                </c:pt>
                <c:pt idx="6">
                  <c:v>1</c:v>
                </c:pt>
                <c:pt idx="7">
                  <c:v>2</c:v>
                </c:pt>
                <c:pt idx="8">
                  <c:v>6</c:v>
                </c:pt>
                <c:pt idx="9">
                  <c:v>2</c:v>
                </c:pt>
                <c:pt idx="10">
                  <c:v>14</c:v>
                </c:pt>
                <c:pt idx="11">
                  <c:v>21</c:v>
                </c:pt>
                <c:pt idx="12">
                  <c:v>11</c:v>
                </c:pt>
                <c:pt idx="13">
                  <c:v>3</c:v>
                </c:pt>
                <c:pt idx="14">
                  <c:v>1</c:v>
                </c:pt>
                <c:pt idx="15">
                  <c:v>2</c:v>
                </c:pt>
              </c:numCache>
            </c:numRef>
          </c:val>
          <c:extLst>
            <c:ext xmlns:c16="http://schemas.microsoft.com/office/drawing/2014/chart" uri="{C3380CC4-5D6E-409C-BE32-E72D297353CC}">
              <c16:uniqueId val="{00000001-9C35-40FD-8CAE-E6E6C46939DA}"/>
            </c:ext>
          </c:extLst>
        </c:ser>
        <c:ser>
          <c:idx val="2"/>
          <c:order val="2"/>
          <c:tx>
            <c:strRef>
              <c:f>'Tren Sentimen'!$D$3:$D$4</c:f>
              <c:strCache>
                <c:ptCount val="1"/>
                <c:pt idx="0">
                  <c:v>Positif</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Sentimen'!$A$5:$A$21</c:f>
              <c:strCache>
                <c:ptCount val="16"/>
                <c:pt idx="0">
                  <c:v>9-Oct</c:v>
                </c:pt>
                <c:pt idx="1">
                  <c:v>10-Oct</c:v>
                </c:pt>
                <c:pt idx="2">
                  <c:v>12-Oct</c:v>
                </c:pt>
                <c:pt idx="3">
                  <c:v>14-Oct</c:v>
                </c:pt>
                <c:pt idx="4">
                  <c:v>16-Oct</c:v>
                </c:pt>
                <c:pt idx="5">
                  <c:v>17-Oct</c:v>
                </c:pt>
                <c:pt idx="6">
                  <c:v>18-Oct</c:v>
                </c:pt>
                <c:pt idx="7">
                  <c:v>19-Oct</c:v>
                </c:pt>
                <c:pt idx="8">
                  <c:v>20-Oct</c:v>
                </c:pt>
                <c:pt idx="9">
                  <c:v>21-Oct</c:v>
                </c:pt>
                <c:pt idx="10">
                  <c:v>22-Oct</c:v>
                </c:pt>
                <c:pt idx="11">
                  <c:v>23-Oct</c:v>
                </c:pt>
                <c:pt idx="12">
                  <c:v>24-Oct</c:v>
                </c:pt>
                <c:pt idx="13">
                  <c:v>25-Oct</c:v>
                </c:pt>
                <c:pt idx="14">
                  <c:v>26-Oct</c:v>
                </c:pt>
                <c:pt idx="15">
                  <c:v>27-Oct</c:v>
                </c:pt>
              </c:strCache>
            </c:strRef>
          </c:cat>
          <c:val>
            <c:numRef>
              <c:f>'Tren Sentimen'!$D$5:$D$21</c:f>
              <c:numCache>
                <c:formatCode>General</c:formatCode>
                <c:ptCount val="16"/>
                <c:pt idx="0">
                  <c:v>3</c:v>
                </c:pt>
                <c:pt idx="5">
                  <c:v>1</c:v>
                </c:pt>
                <c:pt idx="7">
                  <c:v>1</c:v>
                </c:pt>
                <c:pt idx="10">
                  <c:v>2</c:v>
                </c:pt>
                <c:pt idx="11">
                  <c:v>4</c:v>
                </c:pt>
                <c:pt idx="12">
                  <c:v>4</c:v>
                </c:pt>
                <c:pt idx="13">
                  <c:v>3</c:v>
                </c:pt>
                <c:pt idx="14">
                  <c:v>1</c:v>
                </c:pt>
                <c:pt idx="15">
                  <c:v>2</c:v>
                </c:pt>
              </c:numCache>
            </c:numRef>
          </c:val>
          <c:extLst>
            <c:ext xmlns:c16="http://schemas.microsoft.com/office/drawing/2014/chart" uri="{C3380CC4-5D6E-409C-BE32-E72D297353CC}">
              <c16:uniqueId val="{00000002-9C35-40FD-8CAE-E6E6C46939DA}"/>
            </c:ext>
          </c:extLst>
        </c:ser>
        <c:dLbls>
          <c:showLegendKey val="0"/>
          <c:showVal val="1"/>
          <c:showCatName val="0"/>
          <c:showSerName val="0"/>
          <c:showPercent val="0"/>
          <c:showBubbleSize val="0"/>
        </c:dLbls>
        <c:gapWidth val="40"/>
        <c:axId val="2012147072"/>
        <c:axId val="2012147552"/>
      </c:barChart>
      <c:catAx>
        <c:axId val="201214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12147552"/>
        <c:crosses val="autoZero"/>
        <c:auto val="1"/>
        <c:lblAlgn val="ctr"/>
        <c:lblOffset val="100"/>
        <c:noMultiLvlLbl val="0"/>
      </c:catAx>
      <c:valAx>
        <c:axId val="2012147552"/>
        <c:scaling>
          <c:orientation val="minMax"/>
        </c:scaling>
        <c:delete val="1"/>
        <c:axPos val="l"/>
        <c:numFmt formatCode="General" sourceLinked="1"/>
        <c:majorTickMark val="none"/>
        <c:minorTickMark val="none"/>
        <c:tickLblPos val="nextTo"/>
        <c:crossAx val="2012147072"/>
        <c:crosses val="autoZero"/>
        <c:crossBetween val="between"/>
      </c:valAx>
      <c:spPr>
        <a:noFill/>
        <a:ln>
          <a:noFill/>
        </a:ln>
        <a:effectLst/>
      </c:spPr>
    </c:plotArea>
    <c:legend>
      <c:legendPos val="b"/>
      <c:layout>
        <c:manualLayout>
          <c:xMode val="edge"/>
          <c:yMode val="edge"/>
          <c:x val="0.38929335498762135"/>
          <c:y val="0.82765384362711514"/>
          <c:w val="0.14975073384165213"/>
          <c:h val="0.11326660117839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175260</xdr:colOff>
      <xdr:row>2</xdr:row>
      <xdr:rowOff>3810</xdr:rowOff>
    </xdr:from>
    <xdr:to>
      <xdr:col>13</xdr:col>
      <xdr:colOff>457200</xdr:colOff>
      <xdr:row>19</xdr:row>
      <xdr:rowOff>91440</xdr:rowOff>
    </xdr:to>
    <xdr:graphicFrame macro="">
      <xdr:nvGraphicFramePr>
        <xdr:cNvPr id="2" name="Chart 1">
          <a:extLst>
            <a:ext uri="{FF2B5EF4-FFF2-40B4-BE49-F238E27FC236}">
              <a16:creationId xmlns:a16="http://schemas.microsoft.com/office/drawing/2014/main" id="{F30B3973-BC92-E2FE-4003-0ADE12180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163830</xdr:rowOff>
    </xdr:from>
    <xdr:to>
      <xdr:col>9</xdr:col>
      <xdr:colOff>38100</xdr:colOff>
      <xdr:row>23</xdr:row>
      <xdr:rowOff>22860</xdr:rowOff>
    </xdr:to>
    <xdr:graphicFrame macro="">
      <xdr:nvGraphicFramePr>
        <xdr:cNvPr id="2" name="Chart 1">
          <a:extLst>
            <a:ext uri="{FF2B5EF4-FFF2-40B4-BE49-F238E27FC236}">
              <a16:creationId xmlns:a16="http://schemas.microsoft.com/office/drawing/2014/main" id="{08AE2459-3D30-CD6A-91A1-9CF4F9E25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2</xdr:row>
      <xdr:rowOff>3809</xdr:rowOff>
    </xdr:from>
    <xdr:to>
      <xdr:col>23</xdr:col>
      <xdr:colOff>26894</xdr:colOff>
      <xdr:row>21</xdr:row>
      <xdr:rowOff>8964</xdr:rowOff>
    </xdr:to>
    <xdr:graphicFrame macro="">
      <xdr:nvGraphicFramePr>
        <xdr:cNvPr id="2" name="Chart 1">
          <a:extLst>
            <a:ext uri="{FF2B5EF4-FFF2-40B4-BE49-F238E27FC236}">
              <a16:creationId xmlns:a16="http://schemas.microsoft.com/office/drawing/2014/main" id="{A1CF903B-6358-7AA7-666B-6A23877CB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i Achmadfr" refreshedDate="45958.991414236109" createdVersion="8" refreshedVersion="8" minRefreshableVersion="3" recordCount="107" xr:uid="{650EBC9E-7803-4A75-A1BE-49C70A831B1F}">
  <cacheSource type="worksheet">
    <worksheetSource name="Table1"/>
  </cacheSource>
  <cacheFields count="16">
    <cacheField name="Date" numFmtId="164">
      <sharedItems containsSemiMixedTypes="0" containsNonDate="0" containsDate="1" containsString="0" minDate="2025-10-09T00:00:00" maxDate="2025-10-28T00:00:00" count="16">
        <d v="2025-10-20T00:00:00"/>
        <d v="2025-10-22T00:00:00"/>
        <d v="2025-10-23T00:00:00"/>
        <d v="2025-10-16T00:00:00"/>
        <d v="2025-10-26T00:00:00"/>
        <d v="2025-10-24T00:00:00"/>
        <d v="2025-10-10T00:00:00"/>
        <d v="2025-10-27T00:00:00"/>
        <d v="2025-10-12T00:00:00"/>
        <d v="2025-10-18T00:00:00"/>
        <d v="2025-10-25T00:00:00"/>
        <d v="2025-10-21T00:00:00"/>
        <d v="2025-10-09T00:00:00"/>
        <d v="2025-10-19T00:00:00"/>
        <d v="2025-10-14T00:00:00"/>
        <d v="2025-10-17T00:00:00"/>
      </sharedItems>
    </cacheField>
    <cacheField name="Message" numFmtId="0">
      <sharedItems longText="1"/>
    </cacheField>
    <cacheField name="Profile" numFmtId="0">
      <sharedItems/>
    </cacheField>
    <cacheField name="Network" numFmtId="0">
      <sharedItems/>
    </cacheField>
    <cacheField name="Like" numFmtId="0">
      <sharedItems containsSemiMixedTypes="0" containsString="0" containsNumber="1" containsInteger="1" minValue="273" maxValue="93062"/>
    </cacheField>
    <cacheField name="comment" numFmtId="0">
      <sharedItems containsSemiMixedTypes="0" containsString="0" containsNumber="1" containsInteger="1" minValue="0" maxValue="8861"/>
    </cacheField>
    <cacheField name="Shares" numFmtId="0">
      <sharedItems containsSemiMixedTypes="0" containsString="0" containsNumber="1" containsInteger="1" minValue="732" maxValue="101923"/>
    </cacheField>
    <cacheField name="interaction rate" numFmtId="10">
      <sharedItems containsSemiMixedTypes="0" containsString="0" containsNumber="1" minValue="2.0000000000000001E-4" maxValue="1.0730999999999999"/>
    </cacheField>
    <cacheField name="Message-ID" numFmtId="1">
      <sharedItems containsSemiMixedTypes="0" containsString="0" containsNumber="1" containsInteger="1" minValue="1791" maxValue="6.3679410971502304E+16"/>
    </cacheField>
    <cacheField name="Profile-ID" numFmtId="1">
      <sharedItems containsSemiMixedTypes="0" containsString="0" containsNumber="1" containsInteger="1" minValue="290688" maxValue="56744494643" count="80">
        <n v="290688"/>
        <n v="6367940"/>
        <n v="2279440"/>
        <n v="1778920"/>
        <n v="1689460"/>
        <n v="1171180"/>
        <n v="1017470"/>
        <n v="2842510"/>
        <n v="3747770"/>
        <n v="2272690"/>
        <n v="6364469376"/>
        <n v="3735465740"/>
        <n v="3160886212"/>
        <n v="8576370623"/>
        <n v="2226858617"/>
        <n v="30991169"/>
        <n v="1549997496"/>
        <n v="51452118957"/>
        <n v="2867197154"/>
        <n v="5670664069"/>
        <n v="1460730189"/>
        <n v="204256768"/>
        <n v="1780951078"/>
        <n v="36870228995"/>
        <n v="2501583257"/>
        <n v="4050504207"/>
        <n v="9890672501"/>
        <n v="50132340678"/>
        <n v="4016232725"/>
        <n v="263753332"/>
        <n v="8219288942"/>
        <n v="3117846895"/>
        <n v="4489021666"/>
        <n v="181380634"/>
        <n v="39289871539"/>
        <n v="22517216"/>
        <n v="2206242099"/>
        <n v="2112319749"/>
        <n v="609924584"/>
        <n v="4323969563"/>
        <n v="176092297"/>
        <n v="47814736"/>
        <n v="212887213"/>
        <n v="39258075527"/>
        <n v="1584645621"/>
        <n v="5903695152"/>
        <n v="9310720489"/>
        <n v="3428166241"/>
        <n v="5110376634"/>
        <n v="1452762375"/>
        <n v="3411967657"/>
        <n v="4857774026"/>
        <n v="56744494643"/>
        <n v="8414183373"/>
        <n v="3290848283"/>
        <n v="28508595553"/>
        <n v="2366541792"/>
        <n v="34208385470"/>
        <n v="3402935747"/>
        <n v="2707974839"/>
        <n v="1928580710"/>
        <n v="1558618035"/>
        <n v="253985751"/>
        <n v="13379255860"/>
        <n v="3154486890"/>
        <n v="2279778212"/>
        <n v="47478396586"/>
        <n v="1556529644"/>
        <n v="310386046"/>
        <n v="266907615"/>
        <n v="1495633459"/>
        <n v="375459502"/>
        <n v="385221410"/>
        <n v="4690443951"/>
        <n v="1945961331"/>
        <n v="1908175618"/>
        <n v="2622151315"/>
        <n v="220578820"/>
        <n v="551217937"/>
        <n v="1084117528"/>
      </sharedItems>
    </cacheField>
    <cacheField name="Link" numFmtId="0">
      <sharedItems/>
    </cacheField>
    <cacheField name="messege_processed" numFmtId="0">
      <sharedItems longText="1"/>
    </cacheField>
    <cacheField name="hashtags" numFmtId="0">
      <sharedItems containsBlank="1"/>
    </cacheField>
    <cacheField name="tokens" numFmtId="0">
      <sharedItems longText="1"/>
    </cacheField>
    <cacheField name="sentimen" numFmtId="0">
      <sharedItems count="3">
        <s v="Netral"/>
        <s v="Positif"/>
        <s v="Negatif"/>
      </sharedItems>
    </cacheField>
    <cacheField name="sentimen_score" numFmtId="0">
      <sharedItems containsSemiMixedTypes="0" containsString="0" containsNumber="1" minValue="0.47713148593902499" maxValue="0.996933460235595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x v="0"/>
    <s v="Fakta baru terungkap di balik tragedi ledakan kapal Federal II di galangan PT ASL Shipyard, Tanjunguncang, Batam, yang menewaskan belasan pekerja. Dugaan kuat menyebutkan bahwa tangki kapal belum menjalani proses tank cleaning atau pembersihan sisa minyak sebelum pekerjaan pengelasan dilakukan. Informasi ini diperoleh dari keterangan sejumlah pekerja yang selamat. Dua hari sebelum kejadian, tim fitting dari salah satu subkontraktor sudah memperingatkan pihak safety PT ASL bahwa bagian dalam tangki masih dipenuhi kerak minyak hitam yang mudah terbakar. â€œItu yang warna hitam semua kerak minyak, belum dibersihkan. Tapi bukannya disuruh stop kerja, malah disuruh standby air di botol Aqua, jadi kalau terbakar tinggal siram,â€ ungkap salah satu pekerja tim Rotary, yang diketahui menjadi kelompok dengan jumlah korban terbanyak._x000a__x000a_#batamnews #batam #kecelakaankerja #kelalaiank3"/>
    <s v="Batamnews"/>
    <s v="FACEBOOK"/>
    <n v="1730"/>
    <n v="558"/>
    <n v="2906"/>
    <n v="1.6199999999999999E-2"/>
    <n v="2.90687628938492E+16"/>
    <x v="0"/>
    <s v="https://www.facebook.com/504876721638305/posts/1407118621414106"/>
    <s v="fakta terungkap tragedi ledakan kapal federal ii galangan pt asl shipyard tanjunguncang batam menewaskan belasan pekerja dugaan kuat tangki kapal menjalani proses tank cleaning pembersihan sisa minyak pekerjaan pengelasan informasi diperoleh keterangan pekerja selamat kejadian tim fitting salah subkontraktor memperingatkan safety pt asl tangki dipenuhi kerak minyak hitam mudah terbakar warna hitam kerak minyak dibersihkan disuruh stop kerja disuruh standby air botol aqua terbakar tinggal siram salah pekerja tim rotary kelompok korban"/>
    <s v="batamnews, batam, kecelakaankerja, kelalaiank3"/>
    <s v="fakta, terungkap, tragedi, ledakan, kapal, federal, ii, galangan, pt, asl, shipyard, tanjunguncang, batam, menewaskan, belasan, pekerja, dugaan, kuat, tangki, kapal, menjalani, proses, tank, cleaning, pembersihan, sisa, minyak, pekerjaan, pengelasan, informasi, diperoleh, keterangan, pekerja, selamat, kejadian, tim, fitting, salah, subkontraktor, memperingatkan, safety, pt, asl, tangki, dipenuhi, kerak, minyak, hitam, mudah, terbakar, warna, hitam, kerak, minyak, dibersihkan, disuruh, stop, kerja, disuruh, standby, air, botol, aqua, terbakar, tinggal, siram, salah, pekerja, tim, rotary, kelompok, korban"/>
    <x v="0"/>
    <n v="0.59240871667861905"/>
  </r>
  <r>
    <x v="0"/>
    <s v="Fakta baru terungkap di balik tragedi ledakan kapal Federal II di galangan PT ASL Shipyard, Batam, yang menewaskan 13 pekerja. Dugaan kuat, tangki kapal belum menjalani tank cleaning sebelum pengelasan dilakukan. â€œItu masih kerak minyak, belum dibersihkan. Tapi bukannya disuruh stop kerja, malah disuruh standby air di botol Aqua,â€ ungkap salah satu pekerja tim Rotary._x000a__x000a_Diduga, pekerjaan hot work tetap dilakukan di area berisiko hingga memicu ledakan hebat pada Rabu (15/10/2025)pagi. Kasat Reskrim Polresta Barelang Kompol Debby Tri Andrestian menyebut pihaknya masih mendalami dugaan kelalaian. â€œKami kumpulkan semua informasi, termasuk kemungkinan belum dilakukan tank cleaning,â€ ujarnya. Kapolda Kepri Irjen Pol Asep Safrudin menegaskan, â€œJika terbukti ada kelalaian yang menyebabkan korban jiwa, akan kami proses sesuai hukum.â€"/>
    <s v="Batamnews"/>
    <s v="FACEBOOK"/>
    <n v="1207"/>
    <n v="128"/>
    <n v="1489"/>
    <n v="8.3000000000000001E-3"/>
    <n v="2.90687628938492E+16"/>
    <x v="0"/>
    <s v="https://www.facebook.com/reel/1148460690068082/"/>
    <s v="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
    <m/>
    <s v="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
    <x v="0"/>
    <n v="0.93445414304733199"/>
  </r>
  <r>
    <x v="1"/>
    <s v="Gubernur Jawa Barat, Dedi Mulyadi, melakukan inspeksi mendadak (sidak) ke pabrik Aqua di Subang pada Senin, 20 Oktober 2025. Kunjungan ini bertujuan untuk memastikan klaim perusahaan tentang sumber air mineral yang dipasarkan sebagai air pegunungan. Namun, fakta yang ditemukan cukup mengejutkan._x000a__x000a_Saat meninjau lokasi pabrik dan proses pengambilan air, Dedi Mulyadi menemukan bahwa sumber air Aqua bukan berasal dari pegunungan seperti klaim iklan. Air tersebut justru diperoleh dari sumur bor dengan kedalaman 100 hingga 130 meter. Hal ini berbeda jauh dengan persepsi publik yang selama ini meyakini air mineral tersebut murni dari mata air pegunungan alami._x000a__x000a_â€œIni fakta yang harus diketahui masyarakat. Selama ini kita percaya air pegunungan, tapi ternyata berasal dari sumur bor. Ini menjadi perhatian kita, terutama soal dampak lingkungan,â€ ungkap Dedi Mulyadi dalam keterangannya di lokasi._x000a__x000a_Dedi menyoroti potensi risiko lingkungan dari pengambilan air tanah dalam secara masif. Selain meningkatkan risiko longsor, hal ini juga bisa menimbulkan krisis air bersih bagi warga sekitar. Ia menegaskan, perusahaan besar yang mengambil sumber daya alam harus memerhatikan tanggung jawab sosial dan lingkungan._x000a__x000a_Selain itu, Gubernur menekankan ketimpangan antara keuntungan besar perusahaan dan kondisi masyarakat yang kadang kesulitan mengakses air bersih. Menurutnya, keberadaan pabrik besar seharusnya menjadi kesempatan bagi masyarakat sekitar untuk merasakan manfaat, bukan justru merugikan mereka._x000a__x000a_Kunjungan Dedi Mulyadi ke pabrik Aqua ini terekam dalam video yang diunggah di kanal YouTube @Kang Dedi Mulyadi Channel, yang kemudian viral di media sosial. Banyak warganet yang menyoroti fakta ini, mempertanyakan klaim pemasaran air mineral dari pegunungan dan meminta perusahaan untuk lebih transparan._x000a__x000a_Sidak ini sekaligus menjadi pengingat bagi seluruh pihak terkait, bahwa pengelolaan sumber daya alam harus dilakukan secara bertanggung jawab. Dedi Mulyadi menekankan pentingnya regulasi yang tegas, agar perusahaan tidak hanya mengejar keuntungan, tetapi juga menjaga keseimbangan lingkungan dan kesejahteraan masyarakat._x000a__x000a_Dengan temuan ini, publik kini lebih sadar bahwa klaim pemasaran suatu produk tidak selalu sejalan dengan fakta di lapangan. Sidak ini menjadi momentum bagi pemerintah daerah dan perusahaan untuk lebih transparan dan akuntabel dalam mengelola sumber daya alam."/>
    <s v="Suaradotcom"/>
    <s v="FACEBOOK"/>
    <n v="7812"/>
    <n v="2896"/>
    <n v="13540"/>
    <n v="3.0999999999999999E-3"/>
    <n v="6.3679410971502304E+16"/>
    <x v="1"/>
    <s v="https://www.facebook.com/351371880356155/posts/1311328697693797"/>
    <s v="gubernur jawa barat dedi mulyadi inspeksi mendadak sidak pabrik aqua subang senin oktober kunjungan bertujuan klaim perusahaan sumber air mineral dipasarkan air pegunungan fakta ditemukan mengejutkan meninjau lokasi pabrik proses pengambilan air dedi mulyadi menemukan sumber air aqua berasal pegunungan klaim iklan air diperoleh sumur bor kedalaman meter berbeda persepsi publik air mineral murni mata air pegunungan alami fakta masyarakat percaya air pegunungan berasal sumur bor perhatian dampak lingkungan dedi mulyadi keterangannya lokasi dedi menyoroti potensi risiko lingkungan pengambilan air tanah masif meningkatkan risiko longsor menimbulkan krisis air bersih warga perusahaan mengambil sumber daya alam memerhatikan tanggung sosial lingkungan gubernur menekankan ketimpangan keuntungan perusahaan kondisi masyarakat kadang kesulitan mengakses air bersih menurutnya keberadaan pabrik kesempatan masyarakat merasakan manfaat merugikan kunjungan dedi mulyadi pabrik aqua terekam video diunggah kanal youtube kang dedi mulyadi channel viral media sosial warganet menyoroti fakta klaim pemasaran air mineral pegunungan perusahaan transparan sidak pengingat terkait pengelolaan sumber daya alam bertanggung dedi mulyadi menekankan regulasi perusahaan mengejar keuntungan menjaga keseimbangan lingkungan kesejahteraan masyarakat temuan publik sadar klaim pemasaran produk sejalan fakta lapangan sidak momentum pemerintah daerah perusahaan transparan akuntabel mengelola sumber daya alam"/>
    <m/>
    <s v="gubernur, jawa, barat, dedi, mulyadi, inspeksi, mendadak, sidak, pabrik, aqua, subang, senin, oktober, kunjungan, bertujuan, klaim, perusahaan, sumber, air, mineral, dipasarkan, air, pegunungan, fakta, ditemukan, mengejutkan, meninjau, lokasi, pabrik, proses, pengambilan, air, dedi, mulyadi, menemukan, sumber, air, aqua, berasal, pegunungan, klaim, iklan, air, diperoleh, sumur, bor, kedalaman, meter, berbeda, persepsi, publik, air, mineral, murni, mata, air, pegunungan, alami, fakta, masyarakat, percaya, air, pegunungan, berasal, sumur, bor, perhatian, dampak, lingkungan, dedi, mulyadi, keterangannya, lokasi, dedi, menyoroti, potensi, risiko, lingkungan, pengambilan, air, tanah, masif, meningkatkan, risiko, longsor, menimbulkan, krisis, air, bersih, warga, perusahaan, mengambil, sumber, daya, alam, memerhatikan, tanggung, sosial, lingkungan, gubernur, menekankan, ketimpangan, keuntungan, perusahaan, kondisi, masyarakat, kadang, kesulitan, mengakses, air, bersih, menurutnya, keberadaan, pabrik, kesempatan, masyarakat, merasakan, manfaat, merugikan, kunjungan, dedi, mulyadi, pabrik, aqua, terekam, video, diunggah, kanal, youtube, kang, dedi, mulyadi, channel, viral, media, sosial, warganet, menyoroti, fakta, klaim, pemasaran, air, mineral, pegunungan, perusahaan, transparan, sidak, pengingat, terkait, pengelolaan, sumber, daya, alam, bertanggung, dedi, mulyadi, menekankan, regulasi, perusahaan, mengejar, keuntungan, menjaga, keseimbangan, lingkungan, kesejahteraan, masyarakat, temuan, publik, sadar, klaim, pemasaran, produk, sejalan, fakta, lapangan, sidak, momentum, pemerintah, daerah, perusahaan, transparan, akuntabel, mengelola, sumber, daya, alam"/>
    <x v="0"/>
    <n v="0.68258643150329501"/>
  </r>
  <r>
    <x v="2"/>
    <s v="Badan Perlindungan Konsumen Nasional (BPKN RI) mengambil langkah tegas dengan rencana memanggil jajaran direksi PT Tirta Investama, produsen air minum dalam kemasan (AMDK) merek Aqua. Langkah ini menyusul dugaan serius bahwa sumber air yang digunakan Aqua berasal dari sumur bor atau air tanah, bukan dari mata air pegunungan murni seperti yang selama ini gencar diklaim dalam iklan mereka._x000a__x000a_Kabar ini dipastikan langsung oleh Ketua BPKN RI, Mufti Mubarok, yang menyatakan bahwa pihaknya tidak akan tinggal diam terhadap isu yang meresahkan konsumen ini. BPKN akan segera meminta pertanggungjawaban dan klarifikasi resmi dari pihak manajemen Aqua._x000a__x000a_&quot;Kami akan memanggil pihak manajemen dan Direktur PT Tirta Investama untuk meminta klarifikasi resmi terkait sumber air yang digunakan dalam produksi Aqua. BPKN juga akan mengirim tim investigasi langsung ke lokasi pabrik guna memverifikasi kebenaran informasi tersebut,&quot; ujar Ketua BPKN RI Mufti Mubarok dalam keterangannya di Jakarta, Kamis (23/10/2025)._x000a__x000a_Dugaan ini mencuat setelah adanya laporan publik dan hasil inspeksi di salah satu pabrik Aqua yang mengindikasikan penggunaan air tanah. Temuan ini sontak menjadi sorotan, mengingat citra merek Aqua selama puluhan tahun dibangun di atas slogan &quot;Air pegunungan yang murni dan alami,&quot; yang secara masif dipromosikan di berbagai media._x000a__x000a_Mufti menegaskan, BPKN memiliki kewajiban untuk memastikan hak konsumen atas informasi yang benar, jelas, dan jujur tidak dilanggar, sesuai amanat Undang-Undang Nomor 8 Tahun 1999 tentang Perlindungan Konsumen. Jika klaim dalam iklan tidak sesuai dengan kenyataan di lapangan, hal tersebut dapat dikategorikan sebagai penyesatan informasi._x000a__x000a_&quot;Jika klaim di iklan berbeda dengan fakta di lapangan, maka itu termasuk pelanggaran prinsip kejujuran dalam beriklan. Konsumen berhak mengetahui asal bahan baku produk yang mereka konsumsi. BPKN akan menindaklanjuti ini secara transparan dan sesuai dengan ketentuan hukum,&quot; katanya sebagaimana dilansir kantor berita Antara._x000a__x000a_BPKN RI tidak akan bekerja sendiri. Mufti menambahkan bahwa pihaknya akan menggandeng Badan Pengawas Obat dan Makanan (BPOM) serta Kementerian Perindustrian untuk melakukan pemeriksaan silang, terutama terkait izin sumber air dan pemenuhan standar mutu AMDK._x000a__x000a_Meski mengambil langkah tegas, BPKN memastikan bahwa tindakan ini murni bertujuan untuk melindungi kepentingan konsumen dan menjaga kepercayaan publik, bukan untuk merusak reputasi perusahaan._x000a__x000a_&quot;Kami mengajak seluruh pelaku usaha untuk berkomitmen menjaga kejujuran dalam promosi dan pelabelan produk. Konsumen Indonesia berhak mendapatkan kebenaran, bukan sekadar citra,&quot; kata Mufti._x000a__x000a_Sebagai langkah lanjut, BPKN RI mengimbau masyarakat agar lebih cermat dalam memilih air minum kemasan dan membaca label sumber air yang tertera pada kemasan. Jika terdapat dugaan pelanggaran atau ketidaksesuaian klaim produk, konsumen dapat melapor langsung melalui kanal resmi www.bpkn.go.id."/>
    <s v="Suaradotcom"/>
    <s v="FACEBOOK"/>
    <n v="5950"/>
    <n v="3491"/>
    <n v="11765"/>
    <n v="2.7000000000000001E-3"/>
    <n v="6.3679410971502304E+16"/>
    <x v="1"/>
    <s v="https://www.facebook.com/351371880356155/posts/1312024074290926"/>
    <s v="badan perlindungan konsumen nasional bpkn ri mengambil langkah rencana memanggil jajaran direksi pt tirta investama produsen air minum kemasan amdk merek aqua langkah menyusul dugaan serius sumber air aqua berasal sumur bor air tanah mata air pegunungan murni gencar diklaim iklan kabar langsung ketua bpkn ri mufti mubarok tinggal diam isu meresahkan konsumen bpkn pertanggungjawaban klarifikasi resmi manajemen aqua memanggil manajemen direktur pt tirta investama klarifikasi resmi terkait sumber air produksi aqua bpkn mengirim tim investigasi langsung lokasi pabrik memverifikasi kebenaran informasi ketua bpkn ri mufti mubarok keterangannya jakarta kamis dugaan mencuat laporan publik hasil inspeksi salah pabrik aqua mengindikasikan penggunaan air tanah temuan sontak sorotan citra merek aqua puluhan dibangun slogan air pegunungan murni alami masif dipromosikan media mufti bpkn memiliki kewajiban hak konsumen informasi jujur dilanggar sesuai amanat undangundang nomor perlindungan konsumen klaim iklan sesuai kenyataan lapangan dikategorikan penyesatan informasi klaim iklan berbeda fakta lapangan pelanggaran prinsip kejujuran beriklan konsumen berhak bahan baku produk konsumsi bpkn menindaklanjuti transparan sesuai ketentuan hukum dilansir kantor berita bpkn ri mufti menggandeng badan pengawas obat makanan bpom kementerian perindustrian pemeriksaan silang terkait izin sumber air pemenuhan standar mutu amdk mengambil langkah bpkn tindakan murni bertujuan melindungi kepentingan konsumen menjaga kepercayaan publik merusak reputasi perusahaan mengajak pelaku usaha berkomitmen menjaga kejujuran promosi pelabelan produk konsumen indonesia berhak kebenaran citra mufti langkah bpkn ri mengimbau masyarakat cermat memilih air minum kemasan membaca label sumber air tertera kemasan dugaan pelanggaran ketidaksesuaian klaim produk konsumen melapor langsung kanal resmi wwwbpkngoid"/>
    <m/>
    <s v="badan, perlindungan, konsumen, nasional, bpkn, ri, mengambil, langkah, rencana, memanggil, jajaran, direksi, pt, tirta, investama, produsen, air, minum, kemasan, amdk, merek, aqua, langkah, menyusul, dugaan, serius, sumber, air, aqua, berasal, sumur, bor, air, tanah, mata, air, pegunungan, murni, gencar, diklaim, iklan, kabar, langsung, ketua, bpkn, ri, mufti, mubarok, tinggal, diam, isu, meresahkan, konsumen, bpkn, pertanggungjawaban, klarifikasi, resmi, manajemen, aqua, memanggil, manajemen, direktur, pt, tirta, investama, klarifikasi, resmi, terkait, sumber, air, produksi, aqua, bpkn, mengirim, tim, investigasi, langsung, lokasi, pabrik, memverifikasi, kebenaran, informasi, ketua, bpkn, ri, mufti, mubarok, keterangannya, jakarta, kamis, dugaan, mencuat, laporan, publik, hasil, inspeksi, salah, pabrik, aqua, mengindikasikan, penggunaan, air, tanah, temuan, sontak, sorotan, citra, merek, aqua, puluhan, dibangun, slogan, air, pegunungan, murni, alami, masif, dipromosikan, media, mufti, bpkn, memiliki, kewajiban, hak, konsumen, informasi, jujur, dilanggar, sesuai, amanat, undangundang, nomor, perlindungan, konsumen, klaim, iklan, sesuai, kenyataan, lapangan, dikategorikan, penyesatan, informasi, klaim, iklan, berbeda, fakta, lapangan, pelanggaran, prinsip, kejujuran, beriklan, konsumen, berhak, bahan, baku, produk, konsumsi, bpkn, menindaklanjuti, transparan, sesuai, ketentuan, hukum, dilansir, kantor, berita, bpkn, ri, mufti, menggandeng, badan, pengawas, obat, makanan, bpom, kementerian, perindustrian, pemeriksaan, silang, terkait, izin, sumber, air, pemenuhan, standar, mutu, amdk, mengambil, langkah, bpkn, tindakan, murni, bertujuan, melindungi, kepentingan, konsumen, menjaga, kepercayaan, publik, merusak, reputasi, perusahaan, mengajak, pelaku, usaha, berkomitmen, menjaga, kejujuran, promosi, pelabelan, produk, konsumen, indonesia, berhak, kebenaran, citra, mufti, langkah, bpkn, ri, mengimbau, masyarakat, cermat, memilih, air, minum, kemasan, membaca, label, sumber, air, tertera, kemasan, dugaan, pelanggaran, ketidaksesuaian, klaim, produk, konsumen, melapor, langsung, kanal, resmi, wwwbpkngoid"/>
    <x v="0"/>
    <n v="0.53177744150161699"/>
  </r>
  <r>
    <x v="2"/>
    <s v="Brand air mineral Aqua tengah menjadi sorotan setelah Gubernur Jawa Barat, Dedi Mulyadi, mengunggah konten yang menyinggung sumber air Aqua yang ternyata berasal dari sumur dalam, bukan mata air permukaan seperti yang selama ini dikenal masyarakat. Di balik sorotan ini, Aqua memiliki sejarah panjang sebagai pelopor air minum dalam kemasan (AMDK) asli Indonesia yang didirikan oleh pengusaha Tirto Utomo pada tahun 1973._x000a__x000a_Tirto Utomo memulai pendirian perusahaan bernama PT Golden Mississippi dengan pabrik pertama yang dibangun di Pondok Ungu, Bekasi, Jawa Barat. Visi Tirto sangat sederhana, yaitu menyediakan air minum yang higienis dan berkualitas untuk masyarakat Indonesia. Produk perdana Aqua diluncurkan pada 1974 dalam kemasan botol kaca dan mulai dikenal luas pada era itu, meski pada awalnya ide menjual air dalam botol dianggap aneh oleh masyarakat yang terbiasa merebus air tanah sendiri._x000a__x000a_Popularitas Aqua mulai melejit saat proyek pembangunan Tol Jagorawi yang melibatkan banyak pekerja dan kontraktor asing. Mereka menjadi konsumen utama Aqua yang saat itu dipercaya sebagai air minum berkualitas dan praktis. Seiring berjalannya waktu, Aqua tumbuh menjadi merek air mineral terbesar di Indonesia dan kini saham mayoritasnya dimiliki oleh perusahaan Perancis, Danone._x000a__x000a_Meski begitu, Aqua tetap menjadi bagian penting dari perjalanan bangsa Indonesia dengan akar yang murni local, lahir oleh orang Indonesia, dan untuk masyarakat Indonesia. Kisah Tirto Utomo yang mengawali semuanya dari ketulusan ingin menjawab kebutuhan air bersih di tanah air menjadi warisan penting yang masih dikenang hingga kini."/>
    <s v="Suaradotcom"/>
    <s v="FACEBOOK"/>
    <n v="1436"/>
    <n v="831"/>
    <n v="2487"/>
    <n v="5.9999999999999995E-4"/>
    <n v="6.3679410971502304E+16"/>
    <x v="1"/>
    <s v="https://www.facebook.com/351371880356155/posts/1312547104238623"/>
    <s v="brand air mineral aqua sorotan gubernur jawa barat dedi mulyadi mengunggah konten menyinggung sumber air aqua berasal sumur mata air permukaan dikenal masyarakat sorotan aqua memiliki sejarah pelopor air minum kemasan amdk asli indonesia didirikan pengusaha tirto utomo tirto utomo pendirian perusahaan bernama pt golden mississippi pabrik dibangun pondok ungu bekasi jawa barat visi tirto sederhana menyediakan air minum higienis berkualitas masyarakat indonesia produk perdana aqua diluncurkan kemasan botol kaca dikenal luas era ide menjual air botol dianggap aneh masyarakat terbiasa merebus air tanah popularitas aqua melejit proyek pembangunan tol jagorawi melibatkan pekerja kontraktor asing konsumen utama aqua dipercaya air minum berkualitas praktis seiring berjalannya aqua tumbuh merek air mineral terbesar indonesia saham mayoritasnya dimiliki perusahaan perancis danone aqua perjalanan bangsa indonesia akar murni local lahir orang indonesia masyarakat indonesia kisah tirto utomo mengawali ketulusan kebutuhan air bersih tanah air warisan dikenang"/>
    <m/>
    <s v="brand, air, mineral, aqua, sorotan, gubernur, jawa, barat, dedi, mulyadi, mengunggah, konten, menyinggung, sumber, air, aqua, berasal, sumur, mata, air, permukaan, dikenal, masyarakat, sorotan, aqua, memiliki, sejarah, pelopor, air, minum, kemasan, amdk, asli, indonesia, didirikan, pengusaha, tirto, utomo, tirto, utomo, pendirian, perusahaan, bernama, pt, golden, mississippi, pabrik, dibangun, pondok, ungu, bekasi, jawa, barat, visi, tirto, sederhana, menyediakan, air, minum, higienis, berkualitas, masyarakat, indonesia, produk, perdana, aqua, diluncurkan, kemasan, botol, kaca, dikenal, luas, era, ide, menjual, air, botol, dianggap, aneh, masyarakat, terbiasa, merebus, air, tanah, popularitas, aqua, melejit, proyek, pembangunan, tol, jagorawi, melibatkan, pekerja, kontraktor, asing, konsumen, utama, aqua, dipercaya, air, minum, berkualitas, praktis, seiring, berjalannya, aqua, tumbuh, merek, air, mineral, terbesar, indonesia, saham, mayoritasnya, dimiliki, perusahaan, perancis, danone, aqua, perjalanan, bangsa, indonesia, akar, murni, local, lahir, orang, indonesia, masyarakat, indonesia, kisah, tirto, utomo, mengawali, ketulusan, kebutuhan, air, bersih, tanah, air, warisan, dikenang"/>
    <x v="1"/>
    <n v="0.955935478210449"/>
  </r>
  <r>
    <x v="3"/>
    <s v="25 à¸žà¸´à¸à¸±à¸”à¸—à¸µà¹ˆà¹€à¸—à¸µà¹ˆà¸¢à¸§à¸—à¸µà¹ˆà¸à¸´à¸™à¸„à¸²à¹€à¸Ÿà¹ˆà¹‚à¸­à¸‹à¸²à¸à¹‰à¸²_x000a_à¹à¸šà¸šà¹„à¸¡à¹ˆà¸­à¸­à¸à¸™à¸­à¸à¹€à¸¡à¸·à¸­à¸‡à¹€à¸—à¸µà¹ˆà¸¢à¸§à¸‡à¹ˆà¸²à¸¢à¹„à¸›à¹€à¸­à¸‡à¹„à¸”à¹‰_x000a_à¸žà¸£à¹‰à¸­à¸¡à¹à¸žà¸¥à¸™à¸—à¸£à¸´à¸›à¸à¸²à¸£à¹€à¸”à¸´à¸™à¸—à¸²à¸‡à¹à¸šà¸šà¸‡à¹ˆà¸²à¸¢à¹†_x000a__x000a_à¹‚à¸­à¸‹à¸²à¸à¹‰à¸²â€¦ à¹€à¸¡à¸·à¸­à¸‡à¸—à¸µà¹ˆà¹„à¸›à¸à¸µà¹ˆà¸„à¸£à¸±à¹‰à¸‡à¸à¹‡à¹„à¸¡à¹ˆà¹€à¸„à¸¢à¸žà¸­ à¸—à¸£à¸´à¸›à¸™à¸µà¹‰à¸„à¸·à¸­à¸—à¸µà¹ˆà¸ªà¸¸à¸”à¸‚à¸­à¸‡à¸à¸²à¸£à¸à¸´à¸™â€“à¹€à¸—à¸µà¹ˆà¸¢à¸§â€“à¸Šà¹‰à¸­à¸›à¸ˆà¸£à¸´à¸‡à¹† à¹€à¸”à¸´à¸™à¹„à¸›à¸—à¸²à¸‡à¹„à¸«à¸™à¸à¹‡à¸¡à¸µà¸‚à¸­à¸‡à¸­à¸£à¹ˆà¸­à¸¢à¹ƒà¸«à¹‰à¸¥à¸­à¸‡ à¹à¸§à¸°à¸•à¸£à¸‡à¹„à¸«à¸™à¸à¹‡à¸¡à¸µà¸¡à¸¸à¸¡à¹ƒà¸«à¹‰à¸–à¹ˆà¸²à¸¢à¸£à¸¹à¸›à¹€à¸à¹‡à¸šà¹‚à¸¡à¹€à¸¡à¸™à¸•à¹Œ à¹€à¸—à¸µà¹ˆà¸¢à¸§à¸ˆà¸™à¸Ÿà¸´à¸™ à¹€à¸”à¸´à¸™à¸ˆà¸™à¸‚à¸²à¸¥à¹‰à¸² à¹à¸•à¹ˆà¸¢à¸±à¸‡à¹„à¸¡à¹ˆà¸­à¸¢à¸²à¸à¸à¸¥à¸±à¸š à¸£à¸¹à¹‰à¸•à¸±à¸§à¸­à¸µà¸à¸—à¸µ à¸à¸£à¸°à¹€à¸›à¹‹à¸²à¸•à¸±à¸‡à¸„à¹Œà¸à¹‡à¹€à¸šà¸²à¸¥à¸‡à¹€à¸žà¸£à¸²à¸°à¹à¸«à¸¥à¹ˆà¸‡à¸Šà¹‰à¸­à¸›à¸™à¸µà¹ˆà¹à¸«à¸¥à¸° à¹ƒà¸„à¸£à¸—à¸µà¹ˆà¸à¸³à¸¥à¸±à¸‡à¹à¸žà¸¥à¸™à¸¡à¸² à¸šà¸­à¸à¹€à¸¥à¸¢à¸§à¹ˆà¸²à¸•à¹‰à¸­à¸‡à¹€à¸•à¸£à¸µà¸¢à¸¡à¹ƒà¸ˆ à¹€à¸•à¸£à¸µà¸¢à¸¡à¸à¸£à¸°à¹€à¸›à¹‹à¸² à¹à¸¥à¹‰à¸§à¸›à¸¥à¹ˆà¸­à¸¢à¸•à¸±à¸§à¹€à¸­à¸‡à¹ƒà¸«à¹‰à¸ªà¸™à¸¸à¸à¸à¸±à¸šà¹€à¸¡à¸·à¸­à¸‡à¸™à¸µà¹‰à¹à¸šà¸šà¹€à¸•à¹‡à¸¡_x000a__x000a_à¹à¸žà¸¥à¸™à¹‚à¸­à¸‹à¸²à¸à¹‰à¸² 3 à¸§à¸±à¸™ 2 à¸„à¸·à¸™ à¹‚à¸”à¸¢à¹ƒà¸Šà¹‰ Osaka Amazing Pass (2 à¸§à¸±à¸™) à¹à¸šà¸šà¹„à¸¡à¹ˆà¸•à¹‰à¸­à¸‡à¸ˆà¹ˆà¸²à¸¢à¹€à¸žà¸´à¹ˆà¸¡ à¸žà¸£à¹‰à¸­à¸¡à¸žà¸´à¸à¸±à¸”à¹€à¸”à¸´à¸™à¸—à¸²à¸‡à¸”à¹‰à¸§à¸¢à¸£à¸–à¹„à¸Ÿà¹ƒà¸•à¹‰à¸”à¸´à¸™/à¸£à¸–à¹„à¸Ÿ JR à¹à¸¥à¸°à¸—à¸²à¸‡à¸­à¸­à¸à¹ƒà¸«à¹‰à¹€à¸£à¸µà¸¢à¸šà¸£à¹‰à¸­à¸¢à¸•à¸²à¸¡à¸™à¸µà¹‰à¸„à¹ˆà¸² (à¸­à¸±à¸™à¸™à¸µà¹‰à¸ˆà¸±à¸”à¸¡à¸²à¹ƒà¸«à¹‰à¹€à¸›à¹‡à¸™à¹à¸™à¸§à¸—à¸²à¸‡à¸«à¸²à¸à¸—à¸µà¹ˆà¹€à¸—à¸µà¹ˆà¸¢à¸§à¹€à¸¢à¸­à¸°à¹„à¸›à¸à¸¥à¸±à¸§à¹„à¸¡à¹ˆà¸—à¸±à¸™à¸ªà¸²à¸¡à¸²à¸£à¸–à¸•à¸±à¸”à¸­à¸­à¸à¹„à¸”à¹‰à¸•à¸²à¸¡à¸—à¸µà¹ˆà¸ªà¸°à¸”à¸§à¸à¹€à¸¥à¸¢à¸„à¹ˆà¸°)_x000a__x000a_?? Day 1 â€“ à¸•à¸°à¸¥à¸¸à¸¢à¸à¸±à¹ˆà¸‡à¸•à¸°à¸§à¸±à¸™à¸•à¸ (Amazing Pass Day 1)_x000a_à¹€à¸Šà¹‰à¸²_x000a_* Osaka Castle (MORINOMIYA Sta. Exit 3B / Tanimachi 4-chome Exit 1B)à¹€à¸”à¸´à¸™à¸Šà¸¡à¸£à¸­à¸šà¸›à¸£à¸²à¸ªà¸²à¸—à¹à¸¥à¸°à¸‚à¸¶à¹‰à¸™à¸Šà¸¡à¸§à¸´à¸§à¸”à¹‰à¸²à¸™à¸šà¸™ à¸›à¸£à¸²à¸ªà¸²à¸—à¸‡à¸”à¸‡à¸²à¸¡à¹à¸¥à¸°à¹€à¸›à¹‡à¸™à¹à¸¥à¸™à¸”à¹Œà¸¡à¸²à¸£à¹Œà¸à¸«à¸¥à¸±à¸_x000a_* Osaka City Hall + Aqua Liner Cruise (Yodoyabashi Sta. Exit 1)à¹ƒà¸Šà¹‰à¸žà¸²à¸ªà¸‚à¸¶à¹‰à¸™à¹€à¸£à¸·à¸­ Aqua Liner à¸Šà¸¡à¸§à¸´à¸§à¹à¸¡à¹ˆà¸™à¹‰à¸³à¸£à¸­à¸š Nakanoshima_x000a_à¹€à¸—à¸µà¹ˆà¸¢à¸‡_x000a_* à¹à¸§à¸°à¹€à¸”à¸´à¸™à¹€à¸¥à¹ˆà¸™à¸¢à¹ˆà¸²à¸™ Kitahama à¸„à¸²à¹€à¸Ÿà¹ˆ/à¸ªà¸–à¸²à¸›à¸±à¸•à¸¢à¸à¸£à¸£à¸¡à¸ªà¸§à¸¢à¹†_x000a_à¸šà¹ˆà¸²à¸¢_x000a_* Umeda Sky Building Floating Garden (Umeda Sta. Exit 9)à¸ˆà¸¸à¸”à¸Šà¸¡à¸§à¸´à¸§ 360 à¸­à¸‡à¸¨à¸² à¹€à¸«à¹‡à¸™à¸—à¸±à¹‰à¸‡à¹€à¸¡à¸·à¸­à¸‡à¹‚à¸­à¸‹à¸²à¸à¹‰à¸²_x000a_* HEP FIVE Ferris Wheel (Umeda Sta. Exit 5)à¹ƒà¸Šà¹‰à¸žà¸²à¸ªà¸‚à¸¶à¹‰à¸™à¸Ÿà¸£à¸µ à¸¡à¸¸à¸¡à¸–à¹ˆà¸²à¸¢à¸£à¸¹à¸›à¹à¸”à¸‡à¸ªà¸”à¸à¸¥à¸²à¸‡à¹€à¸¡à¸·à¸­à¸‡_x000a_à¹€à¸¢à¹‡à¸™_x000a_* Yakiniku Rikimaru (à¸ªà¸²à¸‚à¸² Umeda) (Umeda Sta. à¹€à¸”à¸´à¸™ 7 à¸™à¸²à¸—à¸µ)à¹€à¸™à¸·à¹‰à¸­à¸¢à¹ˆà¸²à¸‡à¸„à¸¸à¸“à¸ à¸²à¸žà¸”à¸µ à¸£à¸²à¸„à¸²à¸„à¸¸à¹‰à¸¡_x000a__x000a_?? Day 2 â€“ à¸•à¸°à¸¥à¸¸à¸¢ Osaka Bay + Minami (Amazing Pass Day 2)_x000a_à¹€à¸Šà¹‰à¸²_x000a_* Tempozan Giant Ferris Wheel (Osakako Sta. Exit 1)à¸Ÿà¸£à¸µà¸”à¹‰à¸§à¸¢à¸žà¸²à¸ª à¸¡à¸¸à¸¡à¸ªà¸¹à¸‡à¹€à¸«à¹‡à¸™à¸­à¹ˆà¸²à¸§à¹‚à¸­à¸‹à¸²à¸à¹‰à¸²_x000a_* Santa Maria Sunset Cruise (Tempozan Harbor Village, Osakako Sta.)à¹ƒà¸Šà¹‰à¸žà¸²à¸ªà¸™à¸±à¹ˆà¸‡à¹€à¸£à¸·à¸­à¸ˆà¸³à¸¥à¸­à¸‡à¸‚à¸­à¸‡à¹‚à¸„à¸¥à¸±à¸¡à¸šà¸±à¸ª_x000a_à¹€à¸—à¸µà¹ˆà¸¢à¸‡_x000a_* Unagi Kushiyaki Izumo (Namba Sta. Exit 15B)à¸›à¸¥à¸²à¹„à¸«à¸¥à¸¢à¹ˆà¸²à¸‡à¸‹à¸­à¸ªà¸ªà¸¹à¸•à¸£à¸žà¸´à¹€à¸¨à¸©_x000a_à¸šà¹ˆà¸²à¸¢_x000a_* Tsutenkaku Tower + Tower Slider (Ebisucho Sta. Exit 3)à¹à¸¥à¸™à¸”à¹Œà¸¡à¸²à¸£à¹Œà¸à¸¢à¹ˆà¸²à¸™ Shinsekai à¸žà¸£à¹‰à¸­à¸¡à¸ªà¹„à¸¥à¹€à¸”à¸­à¸£à¹Œà¸à¸£à¸°à¸ˆà¸_x000a_* à¹à¸§à¸°à¸à¸´à¸™ Kushikatsu Daruma (Dotonbori)_x000a_à¹€à¸¢à¹‡à¸™_x000a_* à¹€à¸”à¸´à¸™ Shinsaibashi-suji Shopping Street_x000a_* à¹à¸§à¸° Donguri Republic â€“ Shinsaibashi PARCO (à¸£à¹‰à¸²à¸™à¸ˆà¸´à¸šà¸¥à¸´)_x000a_* à¸‚à¸­à¸‡à¸«à¸§à¸²à¸™à¸›à¸´à¸”à¸—à¹‰à¸²à¸¢ Rikuro Ojisan Cheesecake (Namba)_x000a_* à¸”à¸´à¸™à¹€à¸™à¸­à¸£à¹Œ: Chibo Okonomiyaki Restaurant (Shinsaibashi Sta. Exit 7)_x000a__x000a_?? Day 3 â€“ à¸„à¸²à¹€à¸Ÿà¹ˆ/à¸Šà¹‰à¸­à¸›à¸›à¸´à¹‰à¸‡à¸à¹ˆà¸­à¸™à¸à¸¥à¸±à¸š (à¹„à¸¡à¹ˆà¹ƒà¸Šà¹‰à¸žà¸²à¸ª)_x000a_à¹€à¸Šà¹‰à¸²_x000a_* Nakazakicho (Nakazakicho Sta. Exit 2)à¹€à¸”à¸´à¸™à¸¢à¹ˆà¸²à¸™à¹‚à¸šà¸£à¸²à¸“ à¸šà¹‰à¸²à¸™à¹„à¸¡à¹‰à¹€à¸à¹ˆà¸² à¸„à¸²à¹€à¸Ÿà¹ˆà¸®à¸´à¸›à¹†_x000a_* Orange Street (Yotsubashi Sta. Exit 5)à¸–à¸™à¸™à¹à¸Ÿà¸Šà¸±à¹ˆà¸™ à¹€à¸Ÿà¸­à¸£à¹Œà¸™à¸´à¹€à¸ˆà¸­à¸£à¹Œ à¹€à¸—à¹ˆà¹†_x000a_à¹€à¸—à¸µà¹ˆà¸¢à¸‡_x000a_* Gyukatsu Motomura (Namba)à¸à¸´à¸§à¸„à¸±à¸•à¸ªà¸¶à¸à¸£à¸­à¸šà¸™à¸­à¸à¸™à¸¸à¹ˆà¸¡à¹ƒà¸™_x000a_* Ryukishin Rize à¸£à¸²à¹€à¸¡à¹‡à¸‡à¸™à¹‰à¸³à¸‹à¸¸à¸›à¹„à¸à¹ˆà¹€à¸‚à¹‰à¸¡à¸‚à¹‰à¸™_x000a_à¸šà¹ˆà¸²à¸¢_x000a_* à¸Šà¹‰à¸­à¸›à¸•à¹ˆà¸­à¸—à¸µà¹ˆ Kuromon Ichiba Market (Nippombashi Sta. Exit 10)_x000a_* à¸›à¸´à¸”à¸—à¹‰à¸²à¸¢à¸”à¹‰à¸§à¸¢ KURA Sushi (Shinsaibashi) à¸«à¸£à¸·à¸­ à¸£à¹‰à¸²à¸™ Keitei (Takashimaya 7F, Namba Sta. Exit 14)_x000a__x000a_?? à¸£à¹‰à¸²à¸™à¸­à¸²à¸«à¸²à¸£/à¸‚à¸™à¸¡à¸—à¸µà¹ˆà¹€à¸«à¸¥à¸·à¸­ (à¹€à¸¥à¸·à¸­à¸à¹€à¸ªà¸µà¸¢à¸šà¹„à¸”à¹‰à¸•à¸²à¸¡à¹€à¸§à¸¥à¸²)_x000a_* Maruyoshi (à¹„à¸à¹ˆà¸¢à¹ˆà¸²à¸‡à¸„à¸¸à¸Šà¸´) â€“ Shinsaibashi_x000a_* Genrokuzushi (à¸‹à¸¹à¸Šà¸´à¸ªà¸²à¸¢à¸žà¸²à¸™à¸”à¸±à¹‰à¸‡à¹€à¸”à¸´à¸¡) â€“ Dotonbori_x000a_* Aizuya Honten (à¸—à¸²à¹‚à¸à¸°à¸¢à¸²à¸à¸´à¸ªà¸¹à¸•à¸£à¸•à¹‰à¸™à¸•à¸³à¸£à¸±à¸š) â€“ Tamade Sta._x000a_* Yakiniku Rikimaru (à¸­à¸µà¸à¸ªà¸²à¸‚à¸² Namba)_x000a__x000a_??à¹ƒà¸„à¸£à¸—à¸µà¹ˆà¸¡à¸µà¹à¸žà¸¥à¸™à¹„à¸›à¹‚à¸­à¸‹à¸²à¸à¹‰à¸²à¹à¸•à¹ˆà¸à¸¥à¸±à¸§à¸‡à¸šà¸šà¸²à¸™à¸›à¸¥à¸²à¸¢ à¸•à¹‰à¸­à¸‡à¸šà¸­à¸à¹€à¸¥à¸¢à¸§à¹ˆà¸² à¹„à¸—à¸¢à¹€à¸§à¸µà¸¢à¸•à¹€à¸ˆà¹‡à¸— à¸„à¸·à¸­à¸„à¸³à¸•à¸­à¸š! à¸šà¸´à¸™à¸•à¸£à¸‡à¸ˆà¸²à¸ à¸ªà¸¸à¸§à¸£à¸£à¸“à¸ à¸¹à¸¡à¸´ â†’ à¹à¸§à¸°à¸•à¹ˆà¸­à¹€à¸„à¸£à¸·à¹ˆà¸­à¸‡à¹„à¸—à¹€à¸›à¹à¸„à¹ˆ 1 à¸Šà¸±à¹ˆà¸§à¹‚à¸¡à¸‡ à¸à¹‡à¸•à¹ˆà¸­à¹€à¸„à¸£à¸·à¹ˆà¸­à¸‡à¹„à¸›à¹‚à¸­à¸‹à¸²à¸à¹‰à¸²à¹„à¸”à¹‰à¸ªà¸šà¸²à¸¢à¹†  à¹„à¸¡à¹ˆà¹€à¸ªà¸µà¸¢à¹€à¸§à¸¥à¸²à¹€à¸”à¸´à¸™à¸—à¸²à¸‡à¹€à¸¢à¸­à¸° à¹à¸–à¸¡à¸£à¸²à¸„à¸²à¸à¹‡à¸ˆà¸±à¸šà¸•à¹‰à¸­à¸‡à¹„à¸”à¹‰à¸ˆà¸£à¸´à¸‡à¹† à¹€à¸£à¸µà¸¢à¸à¸§à¹ˆà¸²à¹ƒà¸„à¸£à¸à¹‡à¸ªà¸²à¸¡à¸²à¸£à¸–à¸šà¸´à¸™à¹„à¸”à¹‰ à¹„à¸¡à¹ˆà¸•à¹‰à¸­à¸‡à¸£à¸­à¹€à¸‡à¸´à¸™à¹€à¸”à¸·à¸­à¸™à¸­à¸­à¸à¸à¹‡à¸ˆà¸­à¸‡à¸•à¸±à¹‹à¸§à¹„à¸”à¹‰à¹à¸¥à¹‰à¸§_x000a__x000a_?? à¹€à¸£à¸·à¹ˆà¸­à¸‡à¸„à¸§à¸²à¸¡à¸ªà¸°à¸”à¸§à¸à¸à¹‡à¸ˆà¸±à¸”à¹€à¸•à¹‡à¸¡_x000a_* Check-in à¸£à¸§à¸”à¹€à¸£à¹‡à¸§ à¹„à¸¡à¹ˆà¸•à¹‰à¸­à¸‡à¸¢à¸·à¸™à¸•à¹ˆà¸­à¸„à¸´à¸§à¸™à¸²à¸™ à¸›à¸£à¸°à¸«à¸¢à¸±à¸”à¹€à¸§à¸¥à¸²à¹„à¸›à¸­à¸µà¸_x000a_* à¸šà¸£à¸´à¸à¸²à¸£à¸„à¸£à¸š à¸—à¸±à¹‰à¸‡à¸à¸£à¸°à¹€à¸›à¹‹à¸² à¹‚à¸«à¸¥à¸”à¸‡à¹ˆà¸²à¸¢ à¸—à¸µà¹ˆà¸™à¸±à¹ˆà¸‡à¸ªà¸šà¸²à¸¢ à¹„à¸¡à¹ˆà¸£à¸¹à¹‰à¸ªà¸¶à¸à¸§à¹ˆà¸²à¸šà¸´à¸™à¸›à¸£à¸°à¸«à¸¢à¸±à¸”à¹à¸¥à¹‰à¸§à¸•à¹‰à¸­à¸‡à¸—à¸™à¸¥à¸³à¸šà¸²à¸_x000a_* à¹€à¸ªà¹‰à¸™à¸—à¸²à¸‡à¸šà¸´à¸™à¸„à¸£à¸­à¸šà¸„à¸¥à¸¸à¸¡ à¸¡à¸µà¹„à¸Ÿà¸¥à¸•à¹Œà¹„à¸›à¸à¸¥à¸±à¸šà¸«à¸¥à¸²à¸¢à¸Šà¹ˆà¸§à¸‡à¹€à¸§à¸¥à¸² à¹€à¸¥à¸·à¸­à¸à¹„à¸”à¹‰à¸•à¸²à¸¡à¹„à¸¥à¸Ÿà¹Œà¸ªà¹„à¸•à¸¥à¹Œà¸‚à¸­à¸‡à¹à¸•à¹ˆà¸¥à¸°à¸„à¸™_x000a_à¸ªà¸³à¸«à¸£à¸±à¸šà¹ƒà¸„à¸£à¸—à¸µà¹ˆà¹€à¸¥à¹‡à¸‡à¹‚à¸­à¸‹à¸²à¸à¹‰à¸²à¹€à¸›à¹‡à¸™à¸ˆà¸¸à¸”à¸«à¸¡à¸²à¸¢à¸•à¹ˆà¸­à¹„à¸› à¸­à¸¢à¹ˆà¸²à¸¡à¸±à¸§à¸¥à¸±à¸‡à¹€à¸¥! âœ¨_x000a_à¸šà¸´à¸™à¸›à¸£à¸°à¸«à¸¢à¸±à¸” à¹à¸•à¹ˆà¸„à¸¸à¹‰à¸¡à¹€à¸à¸´à¸™à¸£à¸²à¸„à¸² à¸•à¹‰à¸­à¸‡ à¹„à¸—à¸¢à¹€à¸§à¸µà¸¢à¸•à¹€à¸ˆà¹‡à¸— à¹€à¸—à¹ˆà¸²à¸™à¸±à¹‰à¸™ _x000a_à¸¥à¸­à¸‡à¹€à¸¥à¸¢à¸—à¸µà¹ˆ www.vietjetair.com_x000a__x000a_#à¹€à¸§à¸µà¸¢à¸•à¹€à¸ˆà¹‡à¸—à¸•à¸±à¸§à¸ˆà¸£à¸´à¸‡à¸ªà¸¸à¸§à¸£à¸£à¸“à¸ à¸¹à¸¡à¸´ #VietjetThailand #à¹€à¸—à¸µà¹ˆà¸¢à¸§à¸™à¸µà¹‰à¸šà¸´à¸™à¹€à¸§à¸µà¸¢à¸•à¹€à¸ˆà¹‡à¸—"/>
    <s v="TravelHolic à¸Šà¸µà¸§à¸´à¸•à¸•à¸´à¸”à¹€à¸—à¸µà¹ˆà¸¢à¸§"/>
    <s v="FACEBOOK"/>
    <n v="900"/>
    <n v="95"/>
    <n v="2665"/>
    <n v="6.4000000000000003E-3"/>
    <n v="2.2794381757499E+16"/>
    <x v="2"/>
    <s v="https://www.facebook.com/851523779669469/posts/1418530846302090"/>
    <s v="osaka amazing pass jr day amazing pass day osaka castle morinomiya sta exit b tanimachi chome exit b osaka city hall aqua liner cruise yodoyabashi sta exit aqua liner nakanoshima kitahama umeda sky building floating garden umeda sta exit hep five ferris wheel umeda sta exit yakiniku rikimaru umeda umeda sta day osaka bay minami amazing pass day tempozan giant ferris wheel osakako sta exit santa maria sunset cruise tempozan harbor village osakako sta unagi kushiyaki izumo namba sta exit b tsutenkaku tower tower slider ebisucho sta exit shinsekai kushikatsu daruma dotonbori shinsaibashisuji shopping street donguri republic shinsaibashi parco rikuro ojisan cheesecake namba chibo okonomiyaki restaurant shinsaibashi sta exit day nakazakicho nakazakicho sta exit orange street yotsubashi sta exit gyukatsu motomura namba ryukishin rize kuromon ichiba market nippombashi sta exit kura sushi shinsaibashi keitei takashimaya f namba sta exit maruyoshi shinsaibashi genrokuzushi dotonbori aizuya honten tamade sta yakiniku rikimaru namba checkin wwwvietjetaircom"/>
    <s v="à¹€à¸§, vietjetthailand, à¹€à¸—"/>
    <s v="osaka, amazing, pass, jr, day, amazing, pass, day, osaka, castle, morinomiya, sta, exit, b, tanimachi, chome, exit, b, osaka, city, hall, aqua, liner, cruise, yodoyabashi, sta, exit, aqua, liner, nakanoshima, kitahama, umeda, sky, building, floating, garden, umeda, sta, exit, hep, five, ferris, wheel, umeda, sta, exit, yakiniku, rikimaru, umeda, umeda, sta, day, osaka, bay, minami, amazing, pass, day, tempozan, giant, ferris, wheel, osakako, sta, exit, santa, maria, sunset, cruise, tempozan, harbor, village, osakako, sta, unagi, kushiyaki, izumo, namba, sta, exit, b, tsutenkaku, tower, tower, slider, ebisucho, sta, exit, shinsekai, kushikatsu, daruma, dotonbori, shinsaibashisuji, shopping, street, donguri, republic, shinsaibashi, parco, rikuro, ojisan, cheesecake, namba, chibo, okonomiyaki, restaurant, shinsaibashi, sta, exit, day, nakazakicho, nakazakicho, sta, exit, orange, street, yotsubashi, sta, exit, gyukatsu, motomura, namba, ryukishin, rize, kuromon, ichiba, market, nippombashi, sta, exit, kura, sushi, shinsaibashi, keitei, takashimaya, f, namba, sta, exit, maruyoshi, shinsaibashi, genrokuzushi, dotonbori, aizuya, honten, tamade, sta, yakiniku, rikimaru, namba, checkin, wwwvietjetaircom"/>
    <x v="0"/>
    <n v="0.91557770967483498"/>
  </r>
  <r>
    <x v="4"/>
    <s v="Dedi Mulyadi Sebut Air Aqua Dari Pegunungan Bukan Sumur Bor, Akui Tak Ada Niat Menjelekkan._x000a__x000a_Belum lama ini media sosial di hebohkan dengan sumber air yang diambil oleh Aqua._x000a__x000a_Hal tersebut terungkap saat Gubernur Jabar Dedi Mulyadi melakukan sidak ke pabrik aqua yang berada di kawasan Subang, Jawa Barat_x000a__x000a_Kunjungan Dedi Mulyadi ke pabrik Aqua inilah yang menyita perhatian publik._x000a__x000a_Saat sidak berlangsung ramai dugaan bahwa sumber air Aqua berasal dari sumur bor bukanlah dari pegunungan._x000a__x000a_Tak butuh waktu lama kabar sumber air aqua dari sumur bor pun langsung viral di media sosial._x000a__x000a_Setelah kabar ini viral, Gubernur Jabar Dedi Mulyadi pun angkat bicara. _x000a__x000a_Gubernur Jawa Barat Dedi Mulyadi dalam kunjungan keduanya ke pabrik Aqua di Subang, mengakui jika sumber air utama yang digunakan Aqua adalah benar dari mata air pegunungan. _x000a__x000a_BACA SELENGKAPNYA https://bangka.tribunnews.com/news/1667281/dedi-mulyadi-sebut-air-aqua-dari-pegunungan-bukan-sumur-bor-akui-tak-ada-niat-menjelekkan"/>
    <s v="Bangka Pos"/>
    <s v="FACEBOOK"/>
    <n v="273"/>
    <n v="438"/>
    <n v="886"/>
    <n v="8.0000000000000004E-4"/>
    <n v="1.77892288911274E+16"/>
    <x v="3"/>
    <s v="https://www.facebook.com/591968369628111/posts/1237667361724872"/>
    <s v="dedi mulyadi air aqua pegunungan sumur bor akui niat menjelekkan media sosial hebohkan sumber air diambil aqua terungkap gubernur jabar dedi mulyadi sidak pabrik aqua kawasan subang jawa barat kunjungan dedi mulyadi pabrik aqua menyita perhatian publik sidak ramai dugaan sumber air aqua berasal sumur bor pegunungan butuh kabar sumber air aqua sumur bor langsung viral media sosial kabar viral gubernur jabar dedi mulyadi angkat bicara gubernur jawa barat dedi mulyadi kunjungan pabrik aqua subang mengakui sumber air utama aqua mata air pegunungan baca selengkapnya httpsbangkatribunnewscomnewsdedimulyadisebutairaquadaripegununganbukansumurborakuitakadaniatmenjelekkan"/>
    <m/>
    <s v="dedi, mulyadi, air, aqua, pegunungan, sumur, bor, akui, niat, menjelekkan, media, sosial, hebohkan, sumber, air, diambil, aqua, terungkap, gubernur, jabar, dedi, mulyadi, sidak, pabrik, aqua, kawasan, subang, jawa, barat, kunjungan, dedi, mulyadi, pabrik, aqua, menyita, perhatian, publik, sidak, ramai, dugaan, sumber, air, aqua, berasal, sumur, bor, pegunungan, butuh, kabar, sumber, air, aqua, sumur, bor, langsung, viral, media, sosial, kabar, viral, gubernur, jabar, dedi, mulyadi, angkat, bicara, gubernur, jawa, barat, dedi, mulyadi, kunjungan, pabrik, aqua, subang, mengakui, sumber, air, utama, aqua, mata, air, pegunungan, baca, selengkapnya, httpsbangkatribunnewscomnewsdedimulyadisebutairaquadaripegununganbukansumurborakuitakadaniatmenjelekkan"/>
    <x v="0"/>
    <n v="0.96751195192337003"/>
  </r>
  <r>
    <x v="1"/>
    <s v="Inspeksi mendadak yang dilakukan oleh Gubernur Jawa Barat, Dedi Mulyadi ke pabrik Aqua di kawasan Subang, Jawa Barat, mengungkap sebuah fakta yang mengejutkan dari produk air mineral tersebut._x000a__x000a_Air mineral yang selama ini dipasarkan dan dipersepsikan publik berasal dari mata air pegunungan alami, ternyata sumber utamanya adalah sumur bor dalam._x000a__x000a_Dalam video yang diunggah di kanal YouTube KDM Channel, Dedi Mulyadi yang tiba di lokasi pabrik sempat meminta untuk bertemu dengan pimpinan perusahaan._x000a__x000a_Namun, pihak pabrik menyatakan bahwa para manajer sedang berada di luar untuk mengikuti sebuah acara._x000a__x000a_&quot;Kebetulan kepala pabrik yang paling tinggi di sini sama manajernya sedang meeting di luar,&quot; ujar seorang perempuan perwakilan perusahaan dalam unggahan konten Youtube Kang Dedi Mulyadi pada Selasa 21 Oktober 2025._x000a__x000a_Tidak berhenti di situ, Dedi Mulyadi kemudian meminta untuk ditunjukkan lokasi pengambilan sumber air pabrik Aqua tersebut._x000a__x000a_Sambil berjalan menuju area belakang pabrik, ia menyoroti kondisi lingkungan sekitar yang dinilainya rawan longsor dan mengaitkannya dengan aktivitas industri._x000a__x000a_Keterkejutan Dedi Mulyadi memuncak saat mengetahui sumber air pabrik Aqua tersebut untuk membuat produk air mineralnya._x000a__x000a_Rupanya, air diambil menggunakan teknologi sumur bor dengan kedalaman mencapai 100 hingga 130 meter._x000a__x000a_Mendengar fakta itu, gubernur yang akrab disapa Kang Dedi Mulyadi ini sempat terdiam sejenak._x000a__x000a_&quot;Oh ini airnya dibor? saya kira air permukaan, air dari mata air. Ternyata bukan dari mata air, tapi dari sumur pompa dalam,&quot; ujar Dedi Mulyadi dengan ekspresi terkejut._x000a__x000a_Pihak perusahaan lantas menjelaskan bahwa pengambilan air dari lapisan tanah yang sangat dalam dilakukan untuk mendapatkan kualitas air terbaik._x000a__x000a_&quot;Semua air bawah tanah, Pak. Karena memang kualitas yang paling bagus itu yang paling dalam,&quot; jelas seorang staf pabrik._x000a__x000a_Namun, Dedi Mulyadi menyoroti implikasi lebih luas dari aktivitas pengeboran dalam skala besar yang dilakukan perusahaan Aqua di kawasan pegunungan._x000a__x000a_Ia mengaitkan praktik ini dengan perubahan tata air yang menyebabkan bencana ekologis di wilayah sekitar._x000a__x000a_â€œDulu daerah seperti Kasomalang Subang tidak pernah banjir, sekarang sering. Ini menandakan ada persoalan lingkungan serius yang harus segera dibenahi,â€ tegasnya menyiratkan bahwa eksploitasi air tanah berlebihan dapat menjadi salah satu penyebabnya._x000a__x000a_Sidak ini pun membuka mata publik mengenai proses produksi di balik air mineral kemasan yang banyak dikonsumsi masayarakat."/>
    <s v="Indramayu Info"/>
    <s v="FACEBOOK"/>
    <n v="1134"/>
    <n v="284"/>
    <n v="1661"/>
    <n v="6.7000000000000002E-3"/>
    <n v="1.68946383306152E+16"/>
    <x v="4"/>
    <s v="https://www.facebook.com/454376193362573/posts/1391158519684331"/>
    <s v="inspeksi mendadak gubernur jawa barat dedi mulyadi pabrik aqua kawasan subang jawa barat mengungkap fakta mengejutkan produk air mineral air mineral dipasarkan dipersepsikan publik berasal mata air pegunungan alami sumber utamanya sumur bor video diunggah kanal youtube kdm channel dedi mulyadi lokasi pabrik bertemu pimpinan perusahaan pabrik manajer mengikuti acara kepala pabrik manajernya meeting perempuan perwakilan perusahaan unggahan konten youtube kang dedi mulyadi selasa oktober berhenti situ dedi mulyadi lokasi pengambilan sumber air pabrik aqua berjalan area pabrik menyoroti kondisi lingkungan dinilainya rawan longsor mengaitkannya aktivitas industri keterkejutan dedi mulyadi memuncak sumber air pabrik aqua produk air mineralnya air diambil teknologi sumur bor kedalaman mencapai meter mendengar fakta gubernur akrab disapa kang dedi mulyadi terdiam oh airnya dibor air permukaan air mata air mata air sumur pompa dedi mulyadi ekspresi terkejut perusahaan lantas pengambilan air lapisan tanah kualitas air terbaik air tanah kualitas bagus staf pabrik dedi mulyadi menyoroti implikasi luas aktivitas pengeboran skala perusahaan aqua kawasan pegunungan mengaitkan praktik perubahan tata air menyebabkan bencana ekologis wilayah daerah kasomalang subang banjir menandakan lingkungan serius dibenahi menyiratkan eksploitasi air tanah salah penyebabnya sidak membuka mata publik proses produksi air mineral kemasan dikonsumsi masayarakat"/>
    <m/>
    <s v="inspeksi, mendadak, gubernur, jawa, barat, dedi, mulyadi, pabrik, aqua, kawasan, subang, jawa, barat, mengungkap, fakta, mengejutkan, produk, air, mineral, air, mineral, dipasarkan, dipersepsikan, publik, berasal, mata, air, pegunungan, alami, sumber, utamanya, sumur, bor, video, diunggah, kanal, youtube, kdm, channel, dedi, mulyadi, lokasi, pabrik, bertemu, pimpinan, perusahaan, pabrik, manajer, mengikuti, acara, kepala, pabrik, manajernya, meeting, perempuan, perwakilan, perusahaan, unggahan, konten, youtube, kang, dedi, mulyadi, selasa, oktober, berhenti, situ, dedi, mulyadi, lokasi, pengambilan, sumber, air, pabrik, aqua, berjalan, area, pabrik, menyoroti, kondisi, lingkungan, dinilainya, rawan, longsor, mengaitkannya, aktivitas, industri, keterkejutan, dedi, mulyadi, memuncak, sumber, air, pabrik, aqua, produk, air, mineralnya, air, diambil, teknologi, sumur, bor, kedalaman, mencapai, meter, mendengar, fakta, gubernur, akrab, disapa, kang, dedi, mulyadi, terdiam, oh, airnya, dibor, air, permukaan, air, mata, air, mata, air, sumur, pompa, dedi, mulyadi, ekspresi, terkejut, perusahaan, lantas, pengambilan, air, lapisan, tanah, kualitas, air, terbaik, air, tanah, kualitas, bagus, staf, pabrik, dedi, mulyadi, menyoroti, implikasi, luas, aktivitas, pengeboran, skala, perusahaan, aqua, kawasan, pegunungan, mengaitkan, praktik, perubahan, tata, air, menyebabkan, bencana, ekologis, wilayah, daerah, kasomalang, subang, banjir, menandakan, lingkungan, serius, dibenahi, menyiratkan, eksploitasi, air, tanah, salah, penyebabnya, sidak, membuka, mata, publik, proses, produksi, air, mineral, kemasan, dikonsumsi, masayarakat"/>
    <x v="1"/>
    <n v="0.67205208539962702"/>
  </r>
  <r>
    <x v="1"/>
    <s v="Manajemen Danone Indonesia buka suara terkait konten Dedi Mulyadi yang viral saat sidak ke pabrik AQUA. Dalam keterangan tertulisnya, Danone menyatakan bahwa sumber air yang mereka pakai berasal dari sumber air pegunungan yang terlindungi._x000a__x000a_&quot;Air AQUA berasal dari 19 sumber air pegunungan yang tersebar di seluruh Indonesia. Setiap sumber air dipilih melalui proses seleksi ketat yang melibatkan 9 kriteria ilmiah, 5 tahapan evaluasi, Minimal 1 tahun penelitian,&quot; demikian keterangan Danone._x000a__x000a_Danone mengakui sumber airnya bukan berasal dari permukaan, namun dari akuifer dalam dengan kedalaman 60-140 meter._x000a__x000a_&quot;Bukan dari air permukaan atau air tanah dangkal,&quot; demikian pernyataan Danone._x000a__x000a_Danone menjelaskan air dari akuifer terlindungi secara alami dan telah melalui proses seleksi serta kajian ilmiah. Sebagian titik sumber juga bersifat self-flowing atau mengalir alami._x000a__x000a_Danone mengatakan proses itu dilakukan tim ahli dari berbagai disiplin ilmu seperti geologi, hidrogeologi, geofisika, dan mikrobiologi._x000a__x000a_&quot;Akuifer ini terlindungi secara alami oleh lapisan kedap air sehingga bebas dari kontaminasi aktivitas manusia dan tidak mengganggu penggunaan air masyarakat,&quot; ucap Danone._x000a__x000a_Perusahaan juga menyatakan setiap penentuan titik sumber air Aqua telah melewati kajian dampak terhadap lingkungan dan masyarakat._x000a__x000a_Mereka berkata hasil studi hidrogeologi dari Universitas Gadjah Mada (UGM) dan Universitas Padjadjaran (Unpad) yang mengonfirmasi sumber air AQUA tidak bersinggungan dengan air yang digunakan masyarakat."/>
    <s v="Indramayu Info"/>
    <s v="FACEBOOK"/>
    <n v="925"/>
    <n v="369"/>
    <n v="1544"/>
    <n v="6.3E-3"/>
    <n v="1.68946383306152E+16"/>
    <x v="4"/>
    <s v="https://www.facebook.com/454376193362573/posts/1391165973016919"/>
    <s v="manajemen danone indonesia buka suara terkait konten dedi mulyadi viral sidak pabrik aqua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air permukaan air tanah dangkal pernyataan danone danone air akuifer terlindungi alami proses seleksi kajian ilmiah titik sumber bersifat selfflowing mengalir alami danone proses tim ahli disiplin ilmu geologi hidrogeologi geofisika mikrobiologi akuifer terlindungi alami lapisan kedap air bebas kontaminasi aktivitas manusia mengganggu penggunaan air masyarakat danone perusahaan penentuan titik sumber air aqua melewati kajian dampak lingkungan masyarakat hasil studi hidrogeologi universitas gadjah mada ugm universitas padjadjaran unpad mengonfirmasi sumber air aqua bersinggungan air masyarakat"/>
    <m/>
    <s v="manajemen, danone, indonesia, buka, suara, terkait, konten, dedi, mulyadi, viral, sidak, pabrik, aqua,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air, permukaan, air, tanah, dangkal, pernyataan, danone, danone, air, akuifer, terlindungi, alami, proses, seleksi, kajian, ilmiah, titik, sumber, bersifat, selfflowing, mengalir, alami, danone, proses, tim, ahli, disiplin, ilmu, geologi, hidrogeologi, geofisika, mikrobiologi, akuifer, terlindungi, alami, lapisan, kedap, air, bebas, kontaminasi, aktivitas, manusia, mengganggu, penggunaan, air, masyarakat, danone, perusahaan, penentuan, titik, sumber, air, aqua, melewati, kajian, dampak, lingkungan, masyarakat, hasil, studi, hidrogeologi, universitas, gadjah, mada, ugm, universitas, padjadjaran, unpad, mengonfirmasi, sumber, air, aqua, bersinggungan, air, masyarakat"/>
    <x v="0"/>
    <n v="0.86638402938842696"/>
  </r>
  <r>
    <x v="2"/>
    <s v="AQUA melalui laman media sosial resmi menanggapi video viral Gubernur Jawa Barat Dedi Mulyadi yang sidak ke pabrik di Subang._x000a__x000a_Dalam unggahannya, AQUA mengungkapkan setiap sumber air dipilih melalui proses seleksi ketat yang melibatkan 9 kriteria ilmiah, 5 tahapan evaluasi, serta minimal 1 tahun penelitian._x000a__x000a_â€œAir AQUA berasal dari pegunungan terlindungi, mengandung mineral alami, dan telah memperoleh izin resmi dari pemerintah,â€ terangnya._x000a__x000a_â€œKami juga berupaya mengembalikan air lebih banyak ke alam dan masyarakat melalui program konservasi yang tersertifikasi BRIN,â€ tambahnya._x000a_-_x000a_Selengkapnya kunjungi website dengan klik link di bio atau download aplikasi di AppStore dan Google Play Store._x000a__x000a_#InilahNews #AQUA #AirSumurBor #AQUASumurBor #AirMineral #KDM #DediMulyadi #Inilahcom #titiktengah #titikcerah"/>
    <s v="Inilahcom"/>
    <s v="FACEBOOK"/>
    <n v="1239"/>
    <n v="420"/>
    <n v="1880"/>
    <n v="5.4000000000000003E-3"/>
    <n v="1.17118211673312E+16"/>
    <x v="5"/>
    <s v="https://www.facebook.com/reel/1091207866421983/"/>
    <s v="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selengkapnya kunjungi website klik link bio download aplikasi appstore google play store"/>
    <s v="inilahnews, aqua, airsumurbor, aquasumurbor, airmineral, kdm, dedimulyadi, inilahcom, titiktengah, titikcerah"/>
    <s v="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selengkapnya, kunjungi, website, klik, link, bio, download, aplikasi, appstore, google, play, store"/>
    <x v="0"/>
    <n v="0.97066015005111606"/>
  </r>
  <r>
    <x v="2"/>
    <s v="TERBONGKAR Rahasia Aqua, Ternyata dari Sumur Bor, Dedi Mulyadi: Saya Kira Dari Mata Air"/>
    <s v="Tribun Medan"/>
    <s v="FACEBOOK"/>
    <n v="1451"/>
    <n v="758"/>
    <n v="2802"/>
    <n v="8.9999999999999998E-4"/>
    <n v="1.01746656537875E+16"/>
    <x v="6"/>
    <s v="https://www.facebook.com/360608709437093/posts/1247345540763401"/>
    <s v="terbongkar rahasia aqua sumur bor dedi mulyadi mata air"/>
    <m/>
    <s v="terbongkar, rahasia, aqua, sumur, bor, dedi, mulyadi, mata, air"/>
    <x v="0"/>
    <n v="0.96651154756545998"/>
  </r>
  <r>
    <x v="2"/>
    <s v="KLARIFIKASI AQUA Usai Disidak Dedi Mulyadi dan Disebut Bersumber dari Sumur Bor, Bukan Mata Air"/>
    <s v="Tribun Medan"/>
    <s v="FACEBOOK"/>
    <n v="539"/>
    <n v="274"/>
    <n v="1005"/>
    <n v="2.9999999999999997E-4"/>
    <n v="1.01746656537875E+16"/>
    <x v="6"/>
    <s v="https://www.facebook.com/360608709437093/posts/1247390790758876"/>
    <s v="klarifikasi aqua disidak dedi mulyadi bersumber sumur bor mata air"/>
    <m/>
    <s v="klarifikasi, aqua, disidak, dedi, mulyadi, bersumber, sumur, bor, mata, air"/>
    <x v="0"/>
    <n v="0.98320448398589999"/>
  </r>
  <r>
    <x v="1"/>
    <s v="Danone Indonesia buka suara soal konten di akun Youtube Gubernur Jawa Barat Dedi Mulyadi (Demul) alias KDM terkait sumber air Aqua. Dalam konten sidak Dedi Mulyadi itu, pengelola menyebut sumber air Aqua dari bawah tanah, bukan air permukaan._x000a__x000a_Di akun Youtube @KANGDEDIMULYADICHANNEL mulanya Dedi bertanya dari mana sumber air yang dipakai sebagai bahan baku air mineral dalam kemasan itu._x000a__x000a_&quot;Ngambil airnya dari sungai?&quot; kata Dedi bertanya kepada salah satu staf yang menemuinya._x000a__x000a_&quot;Airnya dari bawah tanah pak,&quot; kata Staff tersebut._x000a__x000a_Manajemen Danone Indonesia buka suara terkait konten Dedi Mulyadi ini. Dalam keterangan tertulisnya, Danone menyatakan bahwa sumber air yang mereka pakai berasal dari sumber air pegunungan yang terlindungi._x000a__x000a_&quot;Air AQUA berasal dari 19 sumber air pegunungan yang tersebar di seluruh Indonesia. Setiap sumber air dipilih melalui proses seleksi ketat yang melibatkan 9 kriteria ilmiah, 5 tahapan evaluasi, Minimal 1 tahun penelitian,&quot; demikian keterangan Danone._x000a__x000a_Danone mengakui sumber airnya bukan berasal dari permukaan, namun dari akuifer dalam dengan kedalaman 60-140 meter._x000a__x000a_Simak berita selengkapnya hanya di tvonenews.com_x000a_#HardNews_Viral #NewsOne #CariBeritaditvOne #DediMulyadi #AQUA #Danone #Viral #NO3"/>
    <s v="tvOneNews"/>
    <s v="FACEBOOK"/>
    <n v="9123"/>
    <n v="8556"/>
    <n v="20789"/>
    <n v="5.8999999999999999E-3"/>
    <n v="2.8425133496109E+16"/>
    <x v="7"/>
    <s v="https://www.facebook.com/225571246791909/posts/851150190900675"/>
    <s v="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
    <s v="hardnews_viral, newsone, cariberitaditvone, dedimulyadi, aqua, danone, viral, no3"/>
    <s v="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
    <x v="0"/>
    <n v="0.97607123851776101"/>
  </r>
  <r>
    <x v="2"/>
    <s v="Badan Perlindungan Konsumen Nasional atau BPKN RI akan melakukan investigasi dan memanggil manajemen PT Tirta Investama terkait isu mengenai sumber air Aqua._x000a__x000a_Pasalnya, ada dugaan bahwa sumber air yang dipakai untuk produksi air mineral Aqua itu disebut-sebut bukan berasal dari mata air murni, melainkan dari sumur bor._x000a__x000a_Baca berita selengkapnya_x000a_"/>
    <s v="tvOneNews"/>
    <s v="FACEBOOK"/>
    <n v="304"/>
    <n v="281"/>
    <n v="773"/>
    <n v="2.0000000000000001E-4"/>
    <n v="2.8425133496109E+16"/>
    <x v="7"/>
    <s v="https://www.facebook.com/225571246791909/posts/851965920819102"/>
    <s v="badan perlindungan konsumen nasional bpkn ri investigasi memanggil manajemen pt tirta investama terkait isu sumber air aqua pasalnya dugaan sumber air dipakai produksi air mineral aqua disebutsebut berasal mata air murni sumur bor baca berita selengkapnya"/>
    <m/>
    <s v="badan, perlindungan, konsumen, nasional, bpkn, ri, investigasi, memanggil, manajemen, pt, tirta, investama, terkait, isu, sumber, air, aqua, pasalnya, dugaan, sumber, air, dipakai, produksi, air, mineral, aqua, disebutsebut, berasal, mata, air, murni, sumur, bor, baca, berita, selengkapnya"/>
    <x v="0"/>
    <n v="0.98035448789596502"/>
  </r>
  <r>
    <x v="5"/>
    <s v="Banyak netizen menunding sumber air Aqua tak sesuai klaim air pegunungan karena berasal dari sumur bor. Pakar UGM menyebut air pegunungan tak harus dari gunung."/>
    <s v="detikcom"/>
    <s v="FACEBOOK"/>
    <n v="396"/>
    <n v="607"/>
    <n v="1366"/>
    <n v="2.9999999999999997E-4"/>
    <n v="3.7477724207813504E+16"/>
    <x v="8"/>
    <s v="https://www.facebook.com/362676525901603/posts/1354949070007672"/>
    <s v="netizen menunding sumber air aqua sesuai klaim air pegunungan berasal sumur bor pakar ugm menyebut air pegunungan gunung"/>
    <m/>
    <s v="netizen, menunding, sumber, air, aqua, sesuai, klaim, air, pegunungan, berasal, sumur, bor, pakar, ugm, menyebut, air, pegunungan, gunung"/>
    <x v="0"/>
    <n v="0.98002588748931796"/>
  </r>
  <r>
    <x v="5"/>
    <s v="Potongan video Dedi Mulyadi Gubernur Jawa Barat menyidak lokasi pengolahan air mineral AQUA viral di sosial media._x000a__x000a_Dalam video yang berdurasi 26 menit 51 detik itu menayangkan dari mana sumber air AQUA digunakan. Pihak staf mengatakan sumber air yang digunakan dari bawah tanah dan melalui proses pengeboran._x000a__x000a_Sontak Dedi terkejut. Dia mengira selama ini sumber air yang digunakan perusahaan berasal dari air permukaan atau mata air. Begitupun anggapan warganet._x000a__x000a_Dikutip dari laman Aqua, Donone meluruskan informasi yang beredar di sosial media. Pihaknya menyebut AQUA tidak menggunakan air dari sumur bor biasa. AQUA menggunakan air dari akuifer dalam yang merupakan bagian dari sistem hidrogeologi pegunungan._x000a__x000a_Air ini terlindungi secara alami dan telah melalui proses seleksi serta kajian ilmiah oleh para ahli dari UGM dan Unpad. Sebagian titik sumber juga bersifat self-flowing (mengalir alami)._x000a__x000a_#SuaraSurabaya #SuaraSurabayaMedia #SSemenit #Aqua #Danone #KDM"/>
    <s v="E100"/>
    <s v="FACEBOOK"/>
    <n v="948"/>
    <n v="465"/>
    <n v="1651"/>
    <n v="8.9999999999999998E-4"/>
    <n v="2.27268729878136E+16"/>
    <x v="9"/>
    <s v="https://www.facebook.com/751656319955060/posts/1360563092397710"/>
    <s v="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
    <s v="suarasurabaya, suarasurabayamedia, ssemenit, aqua, danone, kdm"/>
    <s v="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
    <x v="0"/>
    <n v="0.58166199922561601"/>
  </r>
  <r>
    <x v="2"/>
    <s v="KDM Bongkar Fakta di Balik Air Kemasan: Bukan dari Mata Air, tapi dari Sumur Bor Sidak Gubernur Jawa Barat Dedi Mulyadi (KDM) pada 21 Oktober 2025 mengungkap temuan mengejutkan. _x000a__x000a_Air minum dalam kemasan (AMDK) dari salah satu merek besar ternyata bukan berasal dari mata air alami, melainkan air tanah dalam hasil pengeboran artesis hingga 100 meter lebih di bawah permukaan bumi._x000a_Data mencatat, Danoneâ€“AQUA menyedot 15.737,79 megaliter air tanah sepanjang 2023 â€” setara 43 ribu meter kubik per hari. _x000a__x000a_Padahal, penurunan muka air tanah di beberapa wilayah sudah mencapai 1â€“3 meter per tahun, dan bahkan permukaan tanah turun hingga 23 sentimeter di sekitar kawasan industri air minum. _x000a__x000a_Masyarakat di sekitar pabrik, dari Jawa Barat hingga Jawa Timur, mulai merasakan dampaknya: sumur menipis, sawah mengering, dan musim kemarau jadi makin panjang. ??ï¸ â€œAir tanah adalah warisan kehidupan. _x000a__x000a_Ia diam, tapi ketika habis, bumi akan retak,â€ tegas KDM. Sidak ini bukan sekadar soal izin â€” tapi soal hak publik atas air, sumber hidup yang seharusnya dijaga bersama. _x000a__x000a_Kamu biasa minum air mineral apa?"/>
    <s v="INFO PARUNG BOGOR"/>
    <s v="INSTAGRAM"/>
    <n v="2294"/>
    <n v="246"/>
    <n v="2540"/>
    <n v="1.72E-2"/>
    <n v="1853920"/>
    <x v="10"/>
    <s v="https://www.instagram.com/p/DQI2Gt7ADRx/"/>
    <s v="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
    <m/>
    <s v="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
    <x v="0"/>
    <n v="0.47713148593902499"/>
  </r>
  <r>
    <x v="1"/>
    <s v="Gubernur Jawa Barat, Dedi Mulyadi, melakukan sidak ke sebuah pabrik air mineral di kawasan pegunungan Subang. Dalam kunjungannya, Dedi menyoroti potensi bencana lingkungan yang ditimbulkan akibat aktivitas industri di wilayah tersebut. Ia menilai bahwa pengambilan air tanah dalam jumlah besar serta penebangan pohon di sekitar pabrik dapat memperparah kerusakan lingkungan dan memicu bencana._x000a__x000a_Salah satu dampak yang paling sering terjadi akibat aktivitas tersebut adalah banjir dan longsor. Saat meninjau area di belakang pabrik, Dedi menanyakan penyebab longsor yang terjadi di kawasan itu._x000a__x000a_â€œKenapa longsor?â€ tanya Dedi._x000a__x000a_â€œKarena di atasnya itu ada sawah, Pak,â€ jawab perwakilan perusahaan._x000a__x000a_Namun, Dedi menegaskan bahwa penyebab kerusakan tidak semata karena keberadaan sawah. Ia menilai, aktivitas industri seperti eksploitasi air tanah dan penebangan pohon turut memperburuk kondisi lingkungan di kawasan tersebut._x000a__x000a_Video : YT/ Kang Dedi Mulyadi Channel_x000a__x000a_#infokrw #karawang #aqua #kdm #dedimulyadj"/>
    <s v="KARAWANG"/>
    <s v="INSTAGRAM"/>
    <n v="7554"/>
    <n v="387"/>
    <n v="7941"/>
    <n v="1.2999999999999999E-2"/>
    <n v="1853330"/>
    <x v="11"/>
    <s v="https://www.instagram.com/p/DQHY0khEqhH/"/>
    <s v="gubernur jawa barat dedi mulyadi sidak pabrik air mineral kawasan pegunungan subang kunjungannya dedi menyoroti potensi bencana lingkungan ditimbulkan akibat aktivitas industri wilayah menilai pengambilan air tanah penebangan pohon pabrik memperparah kerusakan lingkungan memicu bencana salah dampak akibat aktivitas banjir longsor meninjau area pabrik dedi penyebab longsor kawasan longsor dedi atasnya sawah perwakilan perusahaan dedi penyebab kerusakan keberadaan sawah menilai aktivitas industri eksploitasi air tanah penebangan pohon memperburuk kondisi lingkungan kawasan video yt kang dedi mulyadi channel"/>
    <s v="infokrw, karawang, aqua, kdm, dedimulyadj"/>
    <s v="gubernur, jawa, barat, dedi, mulyadi, sidak, pabrik, air, mineral, kawasan, pegunungan, subang, kunjungannya, dedi, menyoroti, potensi, bencana, lingkungan, ditimbulkan, akibat, aktivitas, industri, wilayah, menilai, pengambilan, air, tanah, penebangan, pohon, pabrik, memperparah, kerusakan, lingkungan, memicu, bencana, salah, dampak, akibat, aktivitas, banjir, longsor, meninjau, area, pabrik, dedi, penyebab, longsor, kawasan, longsor, dedi, atasnya, sawah, perwakilan, perusahaan, dedi, penyebab, kerusakan, keberadaan, sawah, menilai, aktivitas, industri, eksploitasi, air, tanah, penebangan, pohon, memperburuk, kondisi, lingkungan, kawasan, video, yt, kang, dedi, mulyadi, channel"/>
    <x v="2"/>
    <n v="0.84054034948348999"/>
  </r>
  <r>
    <x v="2"/>
    <s v="The real gunung Aqua? ??_x000a__x000a_Seorang pendaki memperlihatkan gugusan gunung yang mirip dengan logo Aqua. Pemandangan itu adalah Gunung Sindoro dan Gunung Sumbing yang berada di Kabupaten Wonosobo, Jawa Tengah. Jika melihat ikatan historisnya, pendiri Aqua Tirto Utomo memang lahir di Wonosobo._x000a__x000a_Jadi, benarkah ini pemandangan asli dari logo ikonik Aqua?_x000a__x000a_#gunung #gunungaqua #gunungsindoro #gunungsumbing"/>
    <s v="FYI Fact"/>
    <s v="INSTAGRAM"/>
    <n v="11778"/>
    <n v="614"/>
    <n v="12392"/>
    <n v="8.8000000000000005E-3"/>
    <n v="1853220"/>
    <x v="12"/>
    <s v="https://www.instagram.com/reel/DQJyZeGkuTl/"/>
    <s v="the real gunung aqua pendaki gugusan gunung logo aqua pemandangan gunung sindoro gunung sumbing kabupaten wonosobo jawa ikatan historisnya pendiri aqua tirto utomo lahir wonosobo pemandangan asli logo ikonik aqua"/>
    <s v="gunung, gunungaqua, gunungsindoro, gunungsumbing"/>
    <s v="the, real, gunung, aqua, pendaki, gugusan, gunung, logo, aqua, pemandangan, gunung, sindoro, gunung, sumbing, kabupaten, wonosobo, jawa, ikatan, historisnya, pendiri, aqua, tirto, utomo, lahir, wonosobo, pemandangan, asli, logo, ikonik, aqua"/>
    <x v="0"/>
    <n v="0.96001434326171797"/>
  </r>
  <r>
    <x v="6"/>
    <s v="It takes a whole village! ??????_x000a__x000a_(Mumbai, mumbai metro, mumbai metro aqua line, mumbai city, mumbai news, metro inauguration, mumbai metro line 3, aqua line)"/>
    <s v="Whats Hot Mumbai"/>
    <s v="INSTAGRAM"/>
    <n v="1253"/>
    <n v="3"/>
    <n v="1256"/>
    <n v="4.4000000000000003E-3"/>
    <n v="1853140"/>
    <x v="13"/>
    <s v="https://www.instagram.com/p/DPnpW2MCGzf/"/>
    <s v="it takes a whole village mumbai mumbai metro mumbai metro aqua line mumbai city mumbai news metro inauguration mumbai metro line aqua line"/>
    <m/>
    <s v="it, takes, a, whole, village, mumbai, mumbai, metro, mumbai, metro, aqua, line, mumbai, city, mumbai, news, metro, inauguration, mumbai, metro, line, aqua, line"/>
    <x v="0"/>
    <n v="0.96733653545379605"/>
  </r>
  <r>
    <x v="2"/>
    <s v="Inspeksi mendadak yang dilakukan oleh Gubernur Jawa Barat, Dedi Mulyadi ke pabrik Aqua di kawasan Subang, Jawa Barat, mengungkap sebuah fakta yang mengejutkan dari produk air mineral tersebut. _x000a__x000a_Tidak berhenti di situ, Dedi Mulyadi kemudian meminta untuk ditunjukkan lokasi pengambilan sumber air pabrik Aqua tersebut.â€¨â€¨Sambil berjalan menuju area belakang pabrik, ia menyoroti kondisi lingkungan sekitar yang dinilainya rawan longsor dan mengaitkannya dengan aktivitas industri. _x000a__x000a_Rupanya, air diambil menggunakan teknologi sumur bor dengan kedalaman mencapai 100 hingga 130 meter.â€¨â€¨Mendengar fakta itu, gubernur yang akrab disapa Kang Dedi Mulyadi ini sempat terdiam sejenak. _x000a_-_x000a_via muslimvox #bdginfo"/>
    <s v="BANDUNG INFO"/>
    <s v="INSTAGRAM"/>
    <n v="709"/>
    <n v="121"/>
    <n v="830"/>
    <n v="4.4999999999999997E-3"/>
    <n v="1849010"/>
    <x v="14"/>
    <s v="https://www.instagram.com/p/DQI4fyCEq0S/"/>
    <s v="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via muslimvox"/>
    <s v="bdginfo"/>
    <s v="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via, muslimvox"/>
    <x v="0"/>
    <n v="0.934739589691162"/>
  </r>
  <r>
    <x v="2"/>
    <s v="Inspeksi mendadak oleh Gubernur Jawa Barat, Dedi Mulyadi, di pabrik Aqua kawasan Subang, mengungkap fakta penting terkait sumber air mineral yang dipasarkan perusahaan. _x000a__x000a_Dalam video di YouTube KANG DEDI MULYADI CHANNEL, Dedi meminta bertemu pimpinan perusahaan dan meninjau lokasi sumber air. Ia terkejut saat mengetahui bahwa air yang digunakan berasal dari sumur bor dalam, dengan kedalaman mencapai 100â€“130 meter, bukan dari mata air alami seperti yang selama ini dipersepsikan publik._x000a__x000a_Kepada wartawan, Dedi menyebutkan, â€œSaya kira air dari mata air, ternyata dari sumur bor. Pengambilan air dari lapisan tanah dalam dapat berpengaruh serius terhadap lingkungan.â€ Ia juga menyoroti potensi kerusakan lingkungan, termasuk peningkatan kejadian banjir di wilayah yang sebelumnya tidak rawan._x000a__x000a_Pihak perusahaan menjelaskan bahwa pengambilan dari sumber dalam dilakukan untuk menjaga kualitas air. Namun, Dedi mengingatkan, eksploitasi besar-besaran ini berisiko memicu bencana ekologis dan mengubah tata air di wilayah tersebut._x000a__x000a_Sementara itu, warganet dan masyarakat menuntut klarifikasi dari Aqua terkait sumber air yang tidak sesuai dengan iklannya yang mengklaim sumbernya dari air pegunungan alami. Mereka meminta perusahaan untuk transparan dan jujur mengenai sumber air yang digunakan._x000a__x000a_Menanggapi isu ini, manajemen Danone Indonesia menyatakan bahwa sumber air Aqua berasal dari sumber pegunungan yang terlindungi, dengan kedalaman 60â€“140 meter, dan melalui kajian dampak lingkungan serta masyarakat sebelum pengambilan._x000a__x000a_Inspeksi ini membuka mata publik akan proses produksi air mineral dan pentingnya transparansi perusahaan terhadap sumber bahan baku yang digunakan, serta dampaknya terhadap keberlanjutan lingkungan._x000a__x000a_Sumber : suaracom, cnn indonesia"/>
    <s v="PURWOREJO JAWA TENGAH"/>
    <s v="INSTAGRAM"/>
    <n v="1046"/>
    <n v="36"/>
    <n v="1082"/>
    <n v="3.5999999999999999E-3"/>
    <n v="1842930"/>
    <x v="15"/>
    <s v="https://www.instagram.com/p/DQItu3CEziT/"/>
    <s v="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
    <m/>
    <s v="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
    <x v="0"/>
    <n v="0.83750879764556796"/>
  </r>
  <r>
    <x v="1"/>
    <s v="Inspeksi mendadak yang dilakukan oleh Gubernur Jawa Barat, Dedi Mulyadi ke pabrik Aqua di kawasan Subang, Jawa Barat, mengungkap sebuah fakta yang mengejutkan dari produk air mineral tersebut. _x000a__x000a_Tidak berhenti di situ, Dedi Mulyadi kemudian meminta untuk ditunjukkan lokasi pengambilan sumber air pabrik Aqua tersebut.â€¨â€¨Sambil berjalan menuju area belakang pabrik, ia menyoroti kondisi lingkungan sekitar yang dinilainya rawan longsor dan mengaitkannya dengan aktivitas industri. _x000a__x000a_Rupanya, air diambil menggunakan teknologi sumur bor dengan kedalaman mencapai 100 hingga 130 meter.â€¨â€¨Mendengar fakta itu, gubernur yang akrab disapa Kang Dedi Mulyadi ini sempat terdiam sejenak. _x000a_â€¨â€”â€”â€¨Source: YT/kangdedimulyadichannelâ€¨_x000a_FollowÂ muslimvoxÂ for more info!_x000a__x000a_#MuslimvoxÂ #VoxOfMuslim"/>
    <s v="Muslimvox"/>
    <s v="INSTAGRAM"/>
    <n v="73650"/>
    <n v="8222"/>
    <n v="81872"/>
    <n v="3.5299999999999998E-2"/>
    <n v="1837710"/>
    <x v="16"/>
    <s v="https://www.instagram.com/p/DQG8rP8gfZR/"/>
    <s v="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follow muslimvox for more info"/>
    <s v="muslimvox, voxofmuslim"/>
    <s v="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follow, muslimvox, for, more, info"/>
    <x v="0"/>
    <n v="0.94934821128845204"/>
  </r>
  <r>
    <x v="7"/>
    <s v="Mampir ke pabrik aqua ahâ€¦"/>
    <s v="Hambaa Sahaya"/>
    <s v="INSTAGRAM"/>
    <n v="2187"/>
    <n v="83"/>
    <n v="2270"/>
    <n v="1.34E-2"/>
    <n v="1836850"/>
    <x v="17"/>
    <s v="https://www.instagram.com/reel/DQTzPOjE0rx/"/>
    <s v="mampir pabrik aqua ah"/>
    <m/>
    <s v="mampir, pabrik, aqua, ah"/>
    <x v="1"/>
    <n v="0.98617643117904596"/>
  </r>
  <r>
    <x v="2"/>
    <s v="Gubernur Jawa Barat Dedi Mulyadi diketahui baru saja melakukan sidak ke pabrik air mineral Aqua di Kabupaten Subang pada Selasa, 21 Oktober 2025._x000a__x000a_Dalam kunjungan itu, Dedi menemukan fakta mengejutkan, air Aqua ternyata berasal dari sumur bor dalam, bukan dari mata air pegunungan seperti yang selama ini diyakini masyarakat._x000a__x000a_Temuan ini langsung menjadi perbincangan hangat di media sosial. Banyak konsumen merasa kecewa karena merasa tertipu dengan klaim â€œair pegununganâ€ yang selama ini digunakan dalam promosi Aqua. Beberapa bahkan melayangkan protes melalui video yang mereka unggah di media sosial._x000a__x000a_Menanggapi viralnya temuan tersebut, manajemen Danone selaku produsen Aqua menegaskan, air Aqua berasal dari sumber air pegunungan yang terlindungi, bukan dari air permukaan._x000a__x000a_Danone juga menjelaskan bahwa air diambil dari akuifer dalam dengan kedalaman 60â€“140 meter, bukan dari air tanah dangkal._x000a__x000a_#DediMulyadi_x000a_#AquadariSumurBor_x000a_#Danone_x000a__x000a_Selengkapnya di Ayobandung.com (link di bio)_x000a_Reporter: Dina Miladina Dewimulyani"/>
    <s v="AYOBANDUNG.COM"/>
    <s v="INSTAGRAM"/>
    <n v="1417"/>
    <n v="138"/>
    <n v="1555"/>
    <n v="1.5699999999999999E-2"/>
    <n v="1836160"/>
    <x v="18"/>
    <s v="https://www.instagram.com/reel/DQJHfXAk04p/"/>
    <s v="gubernur jawa barat dedi mulyadi sidak pabrik air mineral aqua kabupaten subang selasa oktober kunjungan dedi menemukan fakta mengejutkan air aqua berasal sumur bor mata air pegunungan diyakini masyarakat temuan langsung perbincangan hangat media sosial konsumen kecewa tertipu klaim air pegunungan promosi aqua melayangkan protes video unggah media sosial menanggapi viralnya temuan manajemen danone produsen aqua air aqua berasal sumber air pegunungan terlindungi air permukaan danone air diambil akuifer kedalaman meter air tanah dangkal selengkapnya ayobandungcom link bio reporter dina miladina dewimulyani"/>
    <s v="dedimulyadi, aquadarisumurbor, danone"/>
    <s v="gubernur, jawa, barat, dedi, mulyadi, sidak, pabrik, air, mineral, aqua, kabupaten, subang, selasa, oktober, kunjungan, dedi, menemukan, fakta, mengejutkan, air, aqua, berasal, sumur, bor, mata, air, pegunungan, diyakini, masyarakat, temuan, langsung, perbincangan, hangat, media, sosial, konsumen, kecewa, tertipu, klaim, air, pegunungan, promosi, aqua, melayangkan, protes, video, unggah, media, sosial, menanggapi, viralnya, temuan, manajemen, danone, produsen, aqua, air, aqua, berasal, sumber, air, pegunungan, terlindungi, air, permukaan, danone, air, diambil, akuifer, kedalaman, meter, air, tanah, dangkal, selengkapnya, ayobandungcom, link, bio, reporter, dina, miladina, dewimulyani"/>
    <x v="2"/>
    <n v="0.89694601297378496"/>
  </r>
  <r>
    <x v="2"/>
    <s v="Duh Aqua! Tenaga Sopir Sepuh Hanya Seharga Setengah Tangki Solar, Angkut 3x Beban Standar_x000a__x000a_Bayangkan, seorang kakek sopir truk diupah cuma Rp125.000 untuk ngangkut 13 ton galon air mineral, padahal batas normalnya cuma 5 ton._x000a__x000a_Tenaganya diperas tiga kali lipat, tapi upahnya bahkan tak cukup buat isi setengah tangki solar truk yang ia kendarai. Ironi paling murni di tengah galon-galon air yang katanya menyegarkan._x000a__x000a_Kecelakaan maut di Subang yang libatkan 6 kendaraan dan tewaskan 3 orang ternyata dipicu truk tronton bermuatan air mineral Aqua yang rem blong._x000a__x000a_Dalam sidak ke pabrik Aqua, Gubernur Jabar Dedi Mulyadi (KDM) nemuin fakta miris: truk yang dipakai ternyata keluaran 2010 dan tiap hari ngangkut beban 14 ton air mineral._x000a__x000a_â€œPantesan mobilnya udah 15 tahun. Mobil tua, tiap hari nanjak, bawa beban berat. Lolos rem, ya pasti,â€ kata KDM._x000a__x000a_Yang bikin miris, sopir-sopir tua masih disuruh angkut 13 ton galon cuma dibayar Rp125 ribu/hari._x000a_KDM pun menegur keras pihak perusahaan:_x000a__x000a_â€œMalu dong, perusahaan besar kerja sama dengan angkutan murah tapi berisiko tinggi.â€_x000a__x000a_?? KDM juga minta semua transporter Aqua diganti agar sesuai standar keselamatan â€” biar nggak ada lagi nyawa melayang karena kelalaian._x000a__x000a_ inilah_com"/>
    <s v="INDONESIA MENGAJI ID"/>
    <s v="INSTAGRAM"/>
    <n v="11646"/>
    <n v="880"/>
    <n v="12526"/>
    <n v="1.1900000000000001E-2"/>
    <n v="1832590"/>
    <x v="19"/>
    <s v="https://www.instagram.com/reel/DQJnhLwiTNE/"/>
    <s v="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inilahcom"/>
    <m/>
    <s v="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inilahcom"/>
    <x v="2"/>
    <n v="0.98855572938919001"/>
  </r>
  <r>
    <x v="8"/>
    <s v="vibing dengan aqua indigo hari ini ??_x000a__x000a_#majika #aquaindigo #scent"/>
    <s v="Afan Aan"/>
    <s v="INSTAGRAM"/>
    <n v="8948"/>
    <n v="75"/>
    <n v="9023"/>
    <n v="3.0000000000000001E-3"/>
    <n v="1829460"/>
    <x v="20"/>
    <s v="https://www.instagram.com/reel/DPss8vGk0QM/"/>
    <s v="vibing aqua indigo"/>
    <s v="majika, aquaindigo, scent"/>
    <s v="vibing, aqua, indigo"/>
    <x v="0"/>
    <n v="0.874506175518035"/>
  </r>
  <r>
    <x v="2"/>
    <s v="AQUA berasal dari sumber air pegunungan terpilih dan terlindungi._x000a__x000a_Perlu diketahui tidak semua air itu air AQUA, karena AQUA berasal dari air tanah dalam (akuifer dalam), yaitu lapisan batuan yang yang sangat kedap dan terlindungi dari cemaran. Lapisan ini pula yang menjadikan air AQUA mengandung mineral alami._x000a__x000a_Bagaimana Sahabat, semoga informasi ini bisa menjadi referensi mengapa tidak semua air itu AQUA âœ¨??"/>
    <s v="Sehat AQUA"/>
    <s v="INSTAGRAM"/>
    <n v="5683"/>
    <n v="0"/>
    <n v="5683"/>
    <n v="2.2100000000000002E-2"/>
    <n v="1829460"/>
    <x v="21"/>
    <s v="https://www.instagram.com/reel/DQJDDMqkk6J/"/>
    <s v="aqua berasal sumber air pegunungan terpilih terlindungi air air aqua aqua berasal air tanah akuifer lapisan batuan kedap terlindungi cemaran lapisan menjadikan air aqua mengandung mineral alami sahabat semoga informasi referensi air aqua"/>
    <m/>
    <s v="aqua, berasal, sumber, air, pegunungan, terpilih, terlindungi, air, air, aqua, aqua, berasal, air, tanah, akuifer, lapisan, batuan, kedap, terlindungi, cemaran, lapisan, menjadikan, air, aqua, mengandung, mineral, alami, sahabat, semoga, informasi, referensi, air, aqua"/>
    <x v="1"/>
    <n v="0.993946492671966"/>
  </r>
  <r>
    <x v="0"/>
    <s v="Dedi Mulyadi Sidak Pabrik Aqua Subang_x000a________x000a_?? t/jhohanz/kdm_x000a_#exploresubang"/>
    <s v="EXPLORE SUBANG | West Java ??????"/>
    <s v="INSTAGRAM"/>
    <n v="7746"/>
    <n v="405"/>
    <n v="8151"/>
    <n v="3.0200000000000001E-2"/>
    <n v="1824340"/>
    <x v="22"/>
    <s v="https://www.instagram.com/reel/DQDLYXZkmwT/"/>
    <s v="dedi mulyadi sidak pabrik aqua subang tjhohanzkdm"/>
    <s v="exploresubang"/>
    <s v="dedi, mulyadi, sidak, pabrik, aqua, subang, tjhohanzkdm"/>
    <x v="0"/>
    <n v="0.98296689987182595"/>
  </r>
  <r>
    <x v="1"/>
    <s v="Gubernur Jawa Barat, Dedi Mulyadi (KDM), melakukan inspeksi mendadak (sidak) ke salah satu pabrik air minum dalam kemasan (AMDK) pada 21 Oktober 2025 dan menemukan fakta mengejutkan soal sumber air yang digunakan._x000a__x000a_Dalam video yang diunggah di kanal resminya, KDM mengungkap bahwa air untuk produksi perusahaan besar tersebut ternyata bukan berasal dari mata air pegunungan, melainkan dari air tanah dalam hasil pengeboran artesis sedalam lebih dari 100 meter._x000a__x000a_â€œBanyak masyarakat mengira air kemasan ini murni dari mata air alami. Faktanya, sebagian besar berasal dari sumur bor yang mengambil air tanah purba,â€ ujar Dedi._x000a__x000a_Data menunjukkan, Danone-AQUA menggunakan sekitar 15.737,79 megaliter air tanah sepanjang 2023, atau setara 43 ribu meter kubik per hari. Air tersebut berasal dari akuifer vulkanik tua, lapisan air purba yang terbentuk selama ratusan tahun._x000a__x000a_Meski perusahaan mengklaim telah menanam jutaan pohon dan membangun ribuan sumur resapan sebagai bentuk konservasi, para ahli menilai imbuhan air tanah dalam tidak sebanding dengan volume yang diambil. Akibatnya, di beberapa wilayah terjadi penurunan muka air tanah 1â€“3 meter per tahun, bahkan penurunan permukaan tanah hingga 23 sentimeter di sekitar area industri air minum._x000a__x000a_Masyarakat di sekitar pabrik, terutama di Jawa Barat dan Jawa Timur, juga melaporkan debit sumur menurun dan sawah mengering selama musim kemarau._x000a__x000a_KDM menegaskan bahwa sidak ini bukan untuk mencari kesalahan administratif, melainkan untuk mengembalikan kesadaran bahwa air adalah hak publik, bukan sekadar komoditas industri._x000a__x000a_Sumber : haluandotco"/>
    <s v="Jabodetabek24info"/>
    <s v="INSTAGRAM"/>
    <n v="984"/>
    <n v="192"/>
    <n v="1176"/>
    <n v="5.4999999999999997E-3"/>
    <n v="1818630"/>
    <x v="23"/>
    <s v="https://www.instagram.com/p/DQHOPIUCc1p/"/>
    <s v="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sumber haluandotco"/>
    <m/>
    <s v="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sumber, haluandotco"/>
    <x v="0"/>
    <n v="0.65912771224975497"/>
  </r>
  <r>
    <x v="7"/>
    <s v="Pendiri Indonesia Halal Watch (IHW), Ikhsan Abdullah, menyoroti dugaan penggunaan air sumur tanah dalam pada produk air minum dalam kemasan (AMDK) merek Aqua. Dugaan kecurangan ini dinilai tidak sesuai dengan klaim iklan yang menyebutkan sumber mata air pegunungan. Ikhsan menegaskan, jika terbukti benar, produsen Aqua dapat dikenakan sanksi hukum berdasarkan Undang-Undang Nomor 8 Tahun 1999 tentang Perlindungan Konsumen. Sanksi tersebut berpotensi mencakup pencabutan izin edar oleh BPOM, pembatalan sertifikasi halal oleh BPJPH, hingga penurunan materi iklan dari ruang publik._x000a_Selain ancaman hukum, Ikhsan menilai reputasi produsen juga terancam rusak parah. Tindakan curang dapat menurunkan kepercayaan konsumen, memicu hilangnya pangsa pasar, bahkan menimbulkan risiko kesehatan serius seperti alergi, keracunan, hingga penyakit lain jika bahan baku tidak sesuai standar. IHW mendesak BPOM dan BPJPH melakukan pemeriksaan serta audit ketat, menegaskan bahwa kepatuhan produsen terhadap regulasi adalah kunci menjaga keamanan produk dan kepercayaan publik._x000a__x000a_Naskah dan Desain: Asep Suherman_x000a__x000a_#Aqua #IndonesiaHalalWatch #BPOM #BPJPH #PerlindunganKonsumen #AMDK #SertifikasiHalal #BeritaTerkin"/>
    <s v="Warta Ekonomi"/>
    <s v="INSTAGRAM"/>
    <n v="3303"/>
    <n v="347"/>
    <n v="3650"/>
    <n v="1.06E-2"/>
    <n v="1817950"/>
    <x v="24"/>
    <s v="https://www.instagram.com/p/DQTliWbknY0/"/>
    <s v="pendiri indonesia halal watch ihw ikhsan abdullah menyoroti dugaan penggunaan air sumur tanah produk air minum kemasan amdk merek aqua dugaan kecurangan dinilai sesuai klaim iklan sumber mata air pegunungan ikhsan terbukti produsen aqua dikenakan sanksi hukum berdasarkan undangundang nomor perlindungan konsumen sanksi berpotensi mencakup pencabutan izin edar bpom pembatalan sertifikasi halal bpjph penurunan materi iklan ruang publik ancaman hukum ikhsan menilai reputasi produsen terancam rusak parah tindakan curang menurunkan kepercayaan konsumen memicu hilangnya pangsa pasar menimbulkan risiko kesehatan serius alergi keracunan penyakit bahan baku sesuai standar ihw mendesak bpom bpjph pemeriksaan audit ketat kepatuhan produsen regulasi kunci menjaga keamanan produk kepercayaan publik naskah desain asep suherman"/>
    <s v="aqua, indonesiahalalwatch, bpom, bpjph, perlindungankonsumen, amdk, sertifikasihalal, beritaterkin"/>
    <s v="pendiri, indonesia, halal, watch, ihw, ikhsan, abdullah, menyoroti, dugaan, penggunaan, air, sumur, tanah, produk, air, minum, kemasan, amdk, merek, aqua, dugaan, kecurangan, dinilai, sesuai, klaim, iklan, sumber, mata, air, pegunungan, ikhsan, terbukti, produsen, aqua, dikenakan, sanksi, hukum, berdasarkan, undangundang, nomor, perlindungan, konsumen, sanksi, berpotensi, mencakup, pencabutan, izin, edar, bpom, pembatalan, sertifikasi, halal, bpjph, penurunan, materi, iklan, ruang, publik, ancaman, hukum, ikhsan, menilai, reputasi, produsen, terancam, rusak, parah, tindakan, curang, menurunkan, kepercayaan, konsumen, memicu, hilangnya, pangsa, pasar, menimbulkan, risiko, kesehatan, serius, alergi, keracunan, penyakit, bahan, baku, sesuai, standar, ihw, mendesak, bpom, bpjph, pemeriksaan, audit, ketat, kepatuhan, produsen, regulasi, kunci, menjaga, keamanan, produk, kepercayaan, publik, naskah, desain, asep, suherman"/>
    <x v="2"/>
    <n v="0.92029261589050204"/>
  </r>
  <r>
    <x v="1"/>
    <s v="Pernah terpikir dari mana asal air mineral yang kita minum setiap hari? Setiap tetes AQUA memiliki perjalanan panjang yang dimulai dari air hujan di lereng pegunungan terpilih. Air itu meresap perlahan ke dalam tanah, melewati lapisan batuan selama bertahun-tahun, hingga menjadi air mineral alami yang kaya manfaat._x000a__x000a_AQUA dipilih dari sumber air pegunungan berdasarkan sembilan kriteria, lima tahapan, dan satu tahun penelitian. Airnya berasal dari aquifer tertekan yang terlindungi secara alami, bebas dari kontaminan dan tetap mengandung mineral alami._x000a__x000a_Ini yang bikin AQUA beda karena tidak semua air itu AQUA._x000a__x000a_#infojawabarat #jawabarat #jabaristimewa #bogor #subang #bekasi #bogor #sukabumi #cianjur"/>
    <s v="INFO JAWA BARAT"/>
    <s v="INSTAGRAM"/>
    <n v="2042"/>
    <n v="747"/>
    <n v="2789"/>
    <n v="2.5000000000000001E-3"/>
    <n v="1817760"/>
    <x v="25"/>
    <s v="https://www.instagram.com/reel/DQG1QOKiYID/"/>
    <s v="terpikir air mineral minum tetes aqua memiliki perjalanan air hujan lereng pegunungan terpilih air meresap perlahan tanah melewati lapisan batuan bertahuntahun air mineral alami kaya manfaat aqua dipilih sumber air pegunungan berdasarkan sembilan kriteria tahapan penelitian airnya berasal aquifer tertekan terlindungi alami bebas kontaminan mengandung mineral alami bikin aqua beda air aqua"/>
    <s v="infojawabarat, jawabarat, jabaristimewa, bogor, subang, bekasi, bogor, sukabumi, cianjur"/>
    <s v="terpikir, air, mineral, minum, tetes, aqua, memiliki, perjalanan, air, hujan, lereng, pegunungan, terpilih, air, meresap, perlahan, tanah, melewati, lapisan, batuan, bertahuntahun, air, mineral, alami, kaya, manfaat, aqua, dipilih, sumber, air, pegunungan, berdasarkan, sembilan, kriteria, tahapan, penelitian, airnya, berasal, aquifer, tertekan, terlindungi, alami, bebas, kontaminan, mengandung, mineral, alami, bikin, aqua, beda, air, aqua"/>
    <x v="1"/>
    <n v="0.973824143409729"/>
  </r>
  <r>
    <x v="2"/>
    <s v="Gubernur Jawa Barat Dedi Mulyadi melakukan kunjungan ke kawasan Pabrik AQUA di Kecamatan Cisalak, Kabupaten Subang, untuk menyerap aspirasi masyarakat sekitar pabrik. Dalam pertemuan itu, sejumlah warga menyampaikan keluhan terkait sulitnya mendapatkan air bersih meski tinggal di sekitar pabrik air minum terbesar di wilayah tersebut._x000a__x000a_Dalam dialog yang berlangsung hangat, warga mengungkapkan bahwa selama ini mereka justru harus membeli air bersih dari pihak lain untuk kebutuhan sehari-hari. Padahal, di kawasan itu berdiri pabrik pengolahan air dalam kemasan yang selama ini dikenal memanfaatkan sumber air tanah setempat."/>
    <s v="SUBANG INFO"/>
    <s v="INSTAGRAM"/>
    <n v="27087"/>
    <n v="1560"/>
    <n v="28647"/>
    <n v="0.19900000000000001"/>
    <n v="1817240"/>
    <x v="26"/>
    <s v="https://www.instagram.com/reel/DQI54rogeR6/"/>
    <s v="gubernur jawa barat dedi mulyadi kunjungan kawasan pabrik aqua kecamatan cisalak kabupaten subang menyerap aspirasi masyarakat pabrik pertemuan warga keluhan terkait sulitnya air bersih tinggal pabrik air minum terbesar wilayah dialog hangat warga membeli air bersih kebutuhan seharihari kawasan berdiri pabrik pengolahan air kemasan dikenal memanfaatkan sumber air tanah"/>
    <m/>
    <s v="gubernur, jawa, barat, dedi, mulyadi, kunjungan, kawasan, pabrik, aqua, kecamatan, cisalak, kabupaten, subang, menyerap, aspirasi, masyarakat, pabrik, pertemuan, warga, keluhan, terkait, sulitnya, air, bersih, tinggal, pabrik, air, minum, terbesar, wilayah, dialog, hangat, warga, membeli, air, bersih, kebutuhan, seharihari, kawasan, berdiri, pabrik, pengolahan, air, kemasan, dikenal, memanfaatkan, sumber, air, tanah"/>
    <x v="1"/>
    <n v="0.903423011302948"/>
  </r>
  <r>
    <x v="5"/>
    <s v="Kami mendengar dan menghargai setiap pertanyaan Anda._x000a__x000a_Karena itu, kami berupaya memberikan informasi dan edukasi yang akurat untuk menjawab berbagai kekhawatiran yang belakangan ini beredar._x000a__x000a_AQUA telah berdiri selama lebih dari lima dekade dan kami senantiasa berkomitmen untuk mengedepankan kualitas produk dan standar operasional kami._x000a__x000a_Semoga melalui video ini, berbagai misinformasi yang beredar dapat diluruskan dengan baik. _x000a__x000a_Sekali lagi terima kasih atas kepercayaan dan dukungan sahabat &amp; keluarga AQUA di mana pun Anda berada."/>
    <s v="Danone Indonesia"/>
    <s v="INSTAGRAM"/>
    <n v="829"/>
    <n v="295"/>
    <n v="1124"/>
    <n v="2.9000000000000001E-2"/>
    <n v="1816070"/>
    <x v="27"/>
    <s v="https://www.instagram.com/reel/DQLrREckle4/"/>
    <s v="mendengar menghargai berupaya informasi edukasi akurat kekhawatiran beredar aqua berdiri dekade senantiasa berkomitmen mengedepankan kualitas produk standar operasional semoga video misinformasi beredar diluruskan terima kasih kepercayaan dukungan sahabat keluarga aqua"/>
    <m/>
    <s v="mendengar, menghargai, berupaya, informasi, edukasi, akurat, kekhawatiran, beredar, aqua, berdiri, dekade, senantiasa, berkomitmen, mengedepankan, kualitas, produk, standar, operasional, semoga, video, misinformasi, beredar, diluruskan, terima, kasih, kepercayaan, dukungan, sahabat, keluarga, aqua"/>
    <x v="1"/>
    <n v="0.98674064874649003"/>
  </r>
  <r>
    <x v="1"/>
    <s v="Gubernur Jawa Barat, Dedi Mulyadi (KDM), melakukan inspeksi mendadak (sidak) ke salah satu pabrik air minum dalam kemasan (AMDK) pada 21 Oktober 2025 dan menemukan fakta mengejutkan soal sumber air yang digunakan._x000a__x000a_Dalam video yang diunggah di kanal resminya, KDM mengungkap bahwa air untuk produksi perusahaan besar tersebut ternyata bukan berasal dari mata air pegunungan, melainkan dari air tanah dalam hasil pengeboran artesis sedalam lebih dari 100 meter._x000a__x000a_â€œBanyak masyarakat mengira air kemasan ini murni dari mata air alami. Faktanya, sebagian besar berasal dari sumur bor yang mengambil air tanah purba,â€ ujar Dedi._x000a__x000a_Data menunjukkan, Danone-AQUA menggunakan sekitar 15.737,79 megaliter air tanah sepanjang 2023, atau setara 43 ribu meter kubik per hari. Air tersebut berasal dari akuifer vulkanik tua, lapisan air purba yang terbentuk selama ratusan tahun._x000a__x000a_Meski perusahaan mengklaim telah menanam jutaan pohon dan membangun ribuan sumur resapan sebagai bentuk konservasi, para ahli menilai imbuhan air tanah dalam tidak sebanding dengan volume yang diambil. Akibatnya, di beberapa wilayah terjadi penurunan muka air tanah 1â€“3 meter per tahun, bahkan penurunan permukaan tanah hingga 23 sentimeter di sekitar area industri air minum._x000a__x000a_Masyarakat di sekitar pabrik, terutama di Jawa Barat dan Jawa Timur, juga melaporkan debit sumur menurun dan sawah mengering selama musim kemarau._x000a__x000a_KDM menegaskan bahwa sidak ini bukan untuk mencari kesalahan administratif, melainkan untuk mengembalikan kesadaran bahwa air adalah hak publik, bukan sekadar komoditas industri."/>
    <s v="Harian Haluan"/>
    <s v="INSTAGRAM"/>
    <n v="34050"/>
    <n v="3562"/>
    <n v="37612"/>
    <n v="0.15890000000000001"/>
    <n v="1814290"/>
    <x v="28"/>
    <s v="https://www.instagram.com/p/DQG5EE9knTS/"/>
    <s v="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m/>
    <s v="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x v="0"/>
    <n v="0.70075243711471502"/>
  </r>
  <r>
    <x v="9"/>
    <s v="Dua remaja di Kota Tegal, Jawa Tengah, hilang tenggelam di Sungai Gung, Kamis 16 Oktober 2025). Insiden tersebut terjadi saat keduanya sedang membuat konten melompat dari jembatan kemudian terjun ke sungai._x000a__x000a_Mereka bernama Septian Wahyu R (16 tahun) asal Tegalsari, Kecamatan Tegal Barat, dan Nata Qolbi Hidayat (16 tahun) asal Panggung Kecamatan Tegal Timur. Insiden yang menimpa keduanya terjadi pada Kamis sore sekitar pukul 15:30 WIB.Â _x000a__x000a_Septian, Nata, dan ketiga temannya hendak membuat konten melompat dari jembatan kemudian terjun ke Sungai Gung. Septian dan Nata melompat, sedangkan tiga temannya berkumpul di tepi sungai sambil merekam aksi mereka.Â _x000a__x000a_Setelah melompat dan terjun ke sungai, Septian dan Nata ternyata tampak tak bisa berenang. Keduanya kemudian perlahan-lahan tenggelam._x000a__x000a_Ketiga temannya yang berada di tepi sungai dilanda kepanikan. Mereka tidak berani menolong karena tak mahir berenang.Â  _x000a__x000a_Ketiganya lantas mencari pertolongan ke warga sekitar. Warga kemudian menginformasikan kejadian tersebut ke Unit Siaga SAR (USS) Pemalang Kantor SAR Semarang.Â _x000a__x000a_â€œPukul 17:45 WIB kami menerima informasi adanya kejadian orang tenggelam dan langsung kami kirimkan satu tim dari USS Pemalang dilengkapi peralatan selam dan juga aqua eye untuk melakukan pencarian,â€ kata Kepala Basarnas Kantor SAR Semarang, Budiono._x000a__x000a_Saat tiba di lokasi, Basarnas dan tim SAR gabungan segera melakukan pencarian korban. Mereka menyelam di sekitar lokasi Septian dan Nata melompat dari jenbatan. Namun hingga pukul 22:00 WIB, keduanya belum berhasil ditemukan._x000a__x000a_â€œTim terkendala dengan banyaknya palung dan juga penerangan yang minim. Operasi SAR sementara kami hentikan dan akan kami lanjutkan besok pagi,â€ ujar Budiono.Â _x000a__x000a_Kreator: Hirzi _x000a_Produser: Ronggo Astungkoro _x000a__x000a_#CekRepublikaAja #Republika"/>
    <s v="Republika Online"/>
    <s v="INSTAGRAM"/>
    <n v="1224"/>
    <n v="117"/>
    <n v="1341"/>
    <n v="2.8E-3"/>
    <n v="1811990"/>
    <x v="29"/>
    <s v="https://www.instagram.com/reel/DP77fTWEuMd/"/>
    <s v="remaja kota tegal jawa hilang tenggelam sungai gung kamis oktober insiden konten melompat jembatan terjun sungai bernama septian wahyu r tegalsari kecamatan tegal barat nata qolbi hidayat panggung kecamatan tegal timur insiden menimpa kamis sore wib septian nata ketiga temannya konten melompat jembatan terjun sungai gung septian nata melompat temannya berkumpul tepi sungai merekam aksi melompat terjun sungai septian nata berenang perlahanlahan tenggelam ketiga temannya tepi sungai dilanda kepanikan berani menolong mahir berenang ketiganya lantas mencari pertolongan warga warga menginformasikan kejadian unit siaga sar uss pemalang kantor sar semarang wib menerima informasi kejadian orang tenggelam langsung kirimkan tim uss pemalang dilengkapi peralatan selam aqua eye pencarian kepala basarnas kantor sar semarang budiono lokasi basarnas tim sar gabungan pencarian korban menyelam lokasi septian nata melompat jenbatan wib berhasil ditemukan tim terkendala banyaknya palung penerangan minim operasi sar hentikan lanjutkan besok pagi budiono kreator hirzi produser ronggo astungkoro"/>
    <s v="cekrepublikaaja, republika"/>
    <s v="remaja, kota, tegal, jawa, hilang, tenggelam, sungai, gung, kamis, oktober, insiden, konten, melompat, jembatan, terjun, sungai, bernama, septian, wahyu, r, tegalsari, kecamatan, tegal, barat, nata, qolbi, hidayat, panggung, kecamatan, tegal, timur, insiden, menimpa, kamis, sore, wib, septian, nata, ketiga, temannya, konten, melompat, jembatan, terjun, sungai, gung, septian, nata, melompat, temannya, berkumpul, tepi, sungai, merekam, aksi, melompat, terjun, sungai, septian, nata, berenang, perlahanlahan, tenggelam, ketiga, temannya, tepi, sungai, dilanda, kepanikan, berani, menolong, mahir, berenang, ketiganya, lantas, mencari, pertolongan, warga, warga, menginformasikan, kejadian, unit, siaga, sar, uss, pemalang, kantor, sar, semarang, wib, menerima, informasi, kejadian, orang, tenggelam, langsung, kirimkan, tim, uss, pemalang, dilengkapi, peralatan, selam, aqua, eye, pencarian, kepala, basarnas, kantor, sar, semarang, budiono, lokasi, basarnas, tim, sar, gabungan, pencarian, korban, menyelam, lokasi, septian, nata, melompat, jenbatan, wib, berhasil, ditemukan, tim, terkendala, banyaknya, palung, penerangan, minim, operasi, sar, hentikan, lanjutkan, besok, pagi, budiono, kreator, hirzi, produser, ronggo, astungkoro"/>
    <x v="0"/>
    <n v="0.97409433126449496"/>
  </r>
  <r>
    <x v="2"/>
    <s v="Simak iklan Aqua dengan slogan :_x000a__x000a_1. 100% alami._x000a_2. Berasal dari gunung-gunung terpilih._x000a_3. Aqua disaring oleh lapisan bebatuan pelindung tanpa proses rekayasa._x000a_4. Aqua mengandung mineral alami tanpa zat berbahaya._x000a_5. Aqua terasa dingin tanpa didinginkan."/>
    <s v="SUBANG INFO"/>
    <s v="INSTAGRAM"/>
    <n v="12082"/>
    <n v="1992"/>
    <n v="14074"/>
    <n v="9.7799999999999998E-2"/>
    <n v="1811850"/>
    <x v="26"/>
    <s v="https://www.instagram.com/reel/DQIcv9rgT1h/"/>
    <s v="simak iklan aqua slogan alami berasal gununggunung terpilih aqua disaring lapisan bebatuan pelindung proses rekayasa aqua mengandung mineral alami zat berbahaya aqua dingin didinginkan"/>
    <m/>
    <s v="simak, iklan, aqua, slogan, alami, berasal, gununggunung, terpilih, aqua, disaring, lapisan, bebatuan, pelindung, proses, rekayasa, aqua, mengandung, mineral, alami, zat, berbahaya, aqua, dingin, didinginkan"/>
    <x v="0"/>
    <n v="0.49398022890090898"/>
  </r>
  <r>
    <x v="5"/>
    <s v="AQUA melalui laman media sosial resmi menanggapi video viral Gubernur Jawa Barat Dedi Mulyadi yang sidak ke pabrik di Subang._x000a__x000a_Dalam unggahannya, AQUA mengungkapkan setiap sumber air dipilih melalui proses seleksi ketat yang melibatkan 9 kriteria ilmiah, 5 tahapan evaluasi, serta minimal 1 tahun penelitian._x000a__x000a_â€œAir AQUA berasal dari pegunungan terlindungi, mengandung mineral alami, dan telah memperoleh izin resmi dari pemerintah,â€ terangnya._x000a__x000a_â€œKami juga berupaya mengembalikan air lebih banyak ke alam dan masyarakat melalui program konservasi yang tersertifikasi BRIN,â€ tambahnya."/>
    <s v="RumahPengusaha.News"/>
    <s v="INSTAGRAM"/>
    <n v="671"/>
    <n v="61"/>
    <n v="732"/>
    <n v="1.4E-3"/>
    <n v="1811810"/>
    <x v="30"/>
    <s v="https://www.instagram.com/reel/DQLhin0lcx-/"/>
    <s v="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m/>
    <s v="aqua, laman, media, sosial, resmi, menanggapi, video, viral, gubernur, jawa, barat, dedi, mulyadi, sidak, pabrik, subang, unggahannya, aqua, sumber, air, dipilih, proses, seleksi, ketat, melibatkan, kriteria, ilmiah, tahapan, evaluasi, minimal, penelitian, air, aqua, berasal, pegunungan, terlindungi, mengandung, mineral, alami, memperoleh, izin, resmi, pemerintah, terangnya, berupaya, mengembalikan, air, alam, masyarakat, program, konservasi, tersertifikasi, brin"/>
    <x v="0"/>
    <n v="0.95680814981460505"/>
  </r>
  <r>
    <x v="2"/>
    <s v="INFOCIMAHI - Gubernur Jawa Barat, Dedi Mulyadi melakukan sidak ke pabrik air minum Aqua di Subang dan menyoroti aktivitas industri yang dinilai berisiko menimbulkan banjir serta longsor akibat pengambilan air tanah dalam jumlah besar._x000a__x000a_Dalam video yang diunggah di akun YouTube @/dedimulyadi, Dedi terkejut setelah mengetahui bahwa sumber air Aqua berasal dari dua sumur bor dalam, bukan dari mata air pegunungan._x000a__x000a_â€œAir gunung gak ambil bawah tanah, apa nggak geser tanahnya? Kalau di pegunungan, geser tanah berisiko. Ini harus diperhitungkan,â€ katanya._x000a__x000a_Dedi meminta agar izin operasional dan pengambilan air tanah perusahaan tersebut ditinjau ulang serta mengingatkan agar tidak ada manipulasi data volume air yang diambil demi mencegah potensi bencana._x000a__x000a_â€œDikira oleh saya dari air permukaan. Dari air sungai atau mata air. Berarti kategorinya sumur pompa dalam?â€ ujarnya lagi._x000a__x000a_Menanggapi hal itu, manajemen Danone Indonesia menegaskan bahwa sumber air yang digunakan berasal dari sumber air pegunungan yang terlindungi._x000a__x000a_â€œAir AQUA berasal dari 19 sumber air pegunungan yang tersebar di seluruh Indonesia. Setiap sumber air dipilih melalui proses seleksi ketat yang melibatkan 9 kriteria ilmiah, 5 tahapan evaluasi, dan minimal 1 tahun penelitian,â€ jelas Danone dalam keterangan resminya dikutip dari CNBC Indonesia._x000a__x000a_Danone juga menjelaskan bahwa sumber air berasal dari akuifer dalam dengan kedalaman 60 hingga 140 meter yang terlindungi secara alami, serta ditetapkan melalui kajian ilmiah lintas disiplin untuk memastikan keamanan lingkungan dan masyarakat sekitar._x000a__x000a_#Infocimahi #kotacimahi #cimahi #bandung #jawabarat #cimtizen #airaqua #aqua #kdm"/>
    <s v="INFOCIMAHI"/>
    <s v="INSTAGRAM"/>
    <n v="3103"/>
    <n v="155"/>
    <n v="3258"/>
    <n v="6.7000000000000002E-3"/>
    <n v="1811740"/>
    <x v="31"/>
    <s v="https://www.instagram.com/p/DQI46QpksK4/"/>
    <s v="infocimahi gubernur jawa barat dedi mulyadi sidak pabrik air minum aqua subang menyoroti aktivitas industri dinilai berisiko menimbulkan banjir longsor akibat pengambilan air tanah video diunggah akun youtube dedimulyadi dedi terkejut sumber air aqua berasal sumur bor mata air pegunungan air gunung gak ambil tanah nggak geser tanahnya pegunungan geser tanah berisiko diperhitungkan dedi izin operasional pengambilan air tanah perusahaan ditinjau ulang manipulasi data volume air diambil mencegah potensi bencana air permukaan air sungai mata air kategorinya sumur pompa menanggapi manajemen danone indonesia sumber air berasal sumber air pegunungan terlindungi air aqua berasal sumber air pegunungan tersebar indonesia sumber air dipilih proses seleksi ketat melibatkan kriteria ilmiah tahapan evaluasi minimal penelitian danone keterangan resminya dikutip cnbc indonesia danone sumber air berasal akuifer kedalaman meter terlindungi alami ditetapkan kajian ilmiah lintas disiplin keamanan lingkungan masyarakat"/>
    <s v="infocimahi, kotacimahi, cimahi, bandung, jawabarat, cimtizen, airaqua, aqua, kdm"/>
    <s v="infocimahi, gubernur, jawa, barat, dedi, mulyadi, sidak, pabrik, air, minum, aqua, subang, menyoroti, aktivitas, industri, dinilai, berisiko, menimbulkan, banjir, longsor, akibat, pengambilan, air, tanah, video, diunggah, akun, youtube, dedimulyadi, dedi, terkejut, sumber, air, aqua, berasal, sumur, bor, mata, air, pegunungan, air, gunung, gak, ambil, tanah, nggak, geser, tanahnya, pegunungan, geser, tanah, berisiko, diperhitungkan, dedi, izin, operasional, pengambilan, air, tanah, perusahaan, ditinjau, ulang, manipulasi, data, volume, air, diambil, mencegah, potensi, bencana, air, permukaan, air, sungai, mata, air, kategorinya, sumur, pompa, menanggapi, manajemen, danone, indonesia, sumber, air, berasal, sumber, air, pegunungan, terlindungi, air, aqua, berasal, sumber, air, pegunungan, tersebar, indonesia, sumber, air, dipilih, proses, seleksi, ketat, melibatkan, kriteria, ilmiah, tahapan, evaluasi, minimal, penelitian, danone, keterangan, resminya, dikutip, cnbc, indonesia, danone, sumber, air, berasal, akuifer, kedalaman, meter, terlindungi, alami, ditetapkan, kajian, ilmiah, lintas, disiplin, keamanan, lingkungan, masyarakat"/>
    <x v="0"/>
    <n v="0.74391430616378695"/>
  </r>
  <r>
    <x v="2"/>
    <s v="Baru-baru ini Gubernur Jawa Barat, Dedi Mulyadi (KDM), bikin heboh setelah mengungkap fakta mengejutkan soal sumber air minum dalam kemasan (AMDK). Dalam video sidaknya yang diunggah ke YouTube (21/10/2025), KDM menemukan bahwa air kemasan yang diklaim berasal dari â€œmata air pegununganâ€ ternyata diambil dari sumur bor artesis, pengeboran tanah dalam hingga lebih dari 100 meter._x000a__x000a_Temuan ini memicu kekhawatiran soal eksploitasi air tanah. Riset menunjukkan, di beberapa daerah industri air minum, muka air tanah turun 1â€“3 meter per tahun. Data 2023 bahkan mencatat Danone-AQUA menyedot sekitar 15.737 megaliter per tahun (43 ribu meter kubik per hari), sebagian besar dari akuifer vulkanik tua yang butuh waktu sangat lama untuk pulih._x000a__x000a_Meski secara hukum legal, publik mulai mempertanyakan keberlanjutan lingkungan dan kejujuran label produk. Soalnya, iklan masih menampilkan kesan air alami dari pegunungan, padahal kenyataannya hasil boran industri._x000a__x000a_Warganet pun langsung ramai, banyak yang merasa â€œtertipuâ€ dan mulai mikir ulang soal air galon yang mereka minum tiap hari._x000a__x000a_Gimana tanggapan kamu? Komen di bawah yaa_x000a__x000a_Silahkan tag ke teman kamu atau bagian ini ke cerita kamu sehingga kamu dapat dan menjangkau banyak orang._x000a__x000a_Apakah kamu ingin info yang lainnya?_x000a__x000a_follow bisnismillenial dan dapatkan pembelajaran yang lainnya_x000a__x000a_#millenialeducation #suksesbutuhperjuangan #carajualanonline #bisnismillenial"/>
    <s v="BISNIS MILLENIAL"/>
    <s v="INSTAGRAM"/>
    <n v="2023"/>
    <n v="200"/>
    <n v="2223"/>
    <n v="2.3999999999999998E-3"/>
    <n v="1810970"/>
    <x v="32"/>
    <s v="https://www.instagram.com/p/DQJmx36kbIO/"/>
    <s v="barubaru gubernur jawa barat dedi mulyadi kdm bikin heboh mengungkap fakta mengejutkan sumber air minum kemasan amdk video sidaknya diunggah youtube kdm menemukan air kemasan diklaim berasal mata air pegunungan diambil sumur bor artesis pengeboran tanah meter temuan memicu kekhawatiran eksploitasi air tanah riset daerah industri air minum muka air tanah turun meter data mencatat danoneaqua menyedot megaliter ribu meter kubik akuifer vulkanik tua butuh pulih hukum legal publik keberlanjutan lingkungan kejujuran label produk iklan menampilkan kesan air alami pegunungan kenyataannya hasil boran industri warganet langsung ramai tertipu mikir ulang air galon minum gimana tanggapan komen yaa silahkan tag teman cerita menjangkau orang info follow bisnismillenial dapatkan pembelajaran"/>
    <s v="millenialeducation, suksesbutuhperjuangan, carajualanonline, bisnismillenial"/>
    <s v="barubaru, gubernur, jawa, barat, dedi, mulyadi, kdm, bikin, heboh, mengungkap, fakta, mengejutkan, sumber, air, minum, kemasan, amdk, video, sidaknya, diunggah, youtube, kdm, menemukan, air, kemasan, diklaim, berasal, mata, air, pegunungan, diambil, sumur, bor, artesis, pengeboran, tanah, meter, temuan, memicu, kekhawatiran, eksploitasi, air, tanah, riset, daerah, industri, air, minum, muka, air, tanah, turun, meter, data, mencatat, danoneaqua, menyedot, megaliter, ribu, meter, kubik, akuifer, vulkanik, tua, butuh, pulih, hukum, legal, publik, keberlanjutan, lingkungan, kejujuran, label, produk, iklan, menampilkan, kesan, air, alami, pegunungan, kenyataannya, hasil, boran, industri, warganet, langsung, ramai, tertipu, mikir, ulang, air, galon, minum, gimana, tanggapan, komen, yaa, silahkan, tag, teman, cerita, menjangkau, orang, info, follow, bisnismillenial, dapatkan, pembelajaran"/>
    <x v="2"/>
    <n v="0.94137638807296697"/>
  </r>
  <r>
    <x v="10"/>
    <s v="Kalau kalian hobi skip water station, coba tonton video ini!_x000a_._x000a_Rehidrasi itu penting, kalo aku yo pasti sehataqua sejuk, murni, menyegarkan. Jooosss AQUA !!!"/>
    <s v="Cipeng | TIRTA"/>
    <s v="INSTAGRAM"/>
    <n v="6007"/>
    <n v="153"/>
    <n v="6160"/>
    <n v="1.4E-3"/>
    <n v="1810570"/>
    <x v="33"/>
    <s v="https://www.instagram.com/reel/DQOkY6tgWlP/"/>
    <s v="hobi skip water station coba tonton video rehidrasi kalo yo sehataqua sejuk murni menyegarkan jooosss aqua"/>
    <m/>
    <s v="hobi, skip, water, station, coba, tonton, video, rehidrasi, kalo, yo, sehataqua, sejuk, murni, menyegarkan, jooosss, aqua"/>
    <x v="1"/>
    <n v="0.996113061904907"/>
  </r>
  <r>
    <x v="11"/>
    <s v="Polisi menangkap pelaku pemb4karan hidup-hidup Asril Wahyudi (28), sopir asal Kabupaten Solok Selatan, Sumatera Barat, yang ditemukan tew4s terb4kar dalam truk di Kabupaten Ogan Ilir, Sumatera Selatan pada Senin (13/10/2025) dini hari._x000a__x000a_Kabid Humas Polda Sumatera Selatan, Kombes Pol Nandang Muâ€™min Wijaya, mengatakan, pihaknya telah menangkap 3 pelaku inisial AS (24), RS (24), A (34) pada pada 19 Oktober 2025._x000a__x000a_â€œTiga pelaku berhasil ditangkap dan sudah ditetapkan sebagai tersangka. Satu lagi DPO, identitasnya telah kita kantongi,â€ katanya dihubungi Sumbarkita, Selasa (21/10/2025)._x000a__x000a_Ia melanjutkan, selain menangkap pelaku pihaknya telah mengamankan barang bukti berupa 1 unit mobil tronton merek hino warna putih nomor polisi B 9098 UIU dalam keadaan sudah terb4kar, 1 buah botol aqua bekas untuk mengambil minyak mobil dari tangki mobil dan menyiramkan ke korban dan mobil, 1 unit handphone korban dalam keadaan sudah terb*kar._x000a__x000a_Kunjungi web Sumbarkita untuk berita selengkapnya_x000a_._x000a__x000a_._x000a__x000a_Baca berita dan informasi menarik lainnya seputar Sumatera Barat hanya di www.sumbarkita.id atau sanak bisa klik link di bio._x000a__x000a_Jangan lupa tag sumbarkita.id jika ada informasi menarik dan peristiwa penting dan terkini._x000a_=================================_x000a_#sumbar #sumatrabarat #sumbarkita #hukum #kriminal #kriminalupdate"/>
    <s v="SUMBAR KITA"/>
    <s v="INSTAGRAM"/>
    <n v="2029"/>
    <n v="161"/>
    <n v="2190"/>
    <n v="4.1999999999999997E-3"/>
    <n v="1810450"/>
    <x v="34"/>
    <s v="https://www.instagram.com/p/DQDdn56ASHY/"/>
    <s v="polisi menangkap pelaku pembkaran hiduphidup asril wahyudi sopir kabupaten solok selatan sumatera barat ditemukan tews terbkar truk kabupaten ogan ilir sumatera selatan senin kabid humas polda sumatera selatan kombes pol nandang mumin wijaya menangkap pelaku inisial as rs a oktober pelaku berhasil ditangkap ditetapkan tersangka dpo identitasnya kantongi dihubungi sumbarkita selasa melanjutkan menangkap pelaku mengamankan barang bukti unit mobil tronton merek hino warna putih nomor polisi b uiu terbkar buah botol aqua bekas mengambil minyak mobil tangki mobil menyiramkan korban mobil unit handphone korban terbkar kunjungi web sumbarkita berita selengkapnya baca berita informasi menarik seputar sumatera barat wwwsumbarkitaid sanak klik link bio lupa tag sumbarkitaid informasi menarik peristiwa terkini"/>
    <s v="sumbar, sumatrabarat, sumbarkita, hukum, kriminal, kriminalupdate"/>
    <s v="polisi, menangkap, pelaku, pembkaran, hiduphidup, asril, wahyudi, sopir, kabupaten, solok, selatan, sumatera, barat, ditemukan, tews, terbkar, truk, kabupaten, ogan, ilir, sumatera, selatan, senin, kabid, humas, polda, sumatera, selatan, kombes, pol, nandang, mumin, wijaya, menangkap, pelaku, inisial, as, rs, a, oktober, pelaku, berhasil, ditangkap, ditetapkan, tersangka, dpo, identitasnya, kantongi, dihubungi, sumbarkita, selasa, melanjutkan, menangkap, pelaku, mengamankan, barang, bukti, unit, mobil, tronton, merek, hino, warna, putih, nomor, polisi, b, uiu, terbkar, buah, botol, aqua, bekas, mengambil, minyak, mobil, tangki, mobil, menyiramkan, korban, mobil, unit, handphone, korban, terbkar, kunjungi, web, sumbarkita, berita, selengkapnya, baca, berita, informasi, menarik, seputar, sumatera, barat, wwwsumbarkitaid, sanak, klik, link, bio, lupa, tag, sumbarkitaid, informasi, menarik, peristiwa, terkini"/>
    <x v="0"/>
    <n v="0.98321658372878995"/>
  </r>
  <r>
    <x v="2"/>
    <s v="Inspeksi mendadak yang dilakukan oleh Gubernur Jawa Barat, Dedi Mulyadi ke pabrik Aqua di kawasan Subang, Jawa Barat, mengungkap sebuah fakta yang mengejutkan dari produk air mineral tersebut. _x000a__x000a_Air mineral yang selama ini dipasarkan dan dipersepsikan publik berasal dari mata air pegunungan alami, ternyata sumber utamanya adalah sumur bor dalam."/>
    <s v="EXPLORE SUBANG | West Java ??????"/>
    <s v="INSTAGRAM"/>
    <n v="770"/>
    <n v="32"/>
    <n v="802"/>
    <n v="3.0000000000000001E-3"/>
    <n v="1810170"/>
    <x v="22"/>
    <s v="https://www.instagram.com/reel/DQJRZClkqTi/"/>
    <s v="inspeksi mendadak gubernur jawa barat dedi mulyadi pabrik aqua kawasan subang jawa barat mengungkap fakta mengejutkan produk air mineral air mineral dipasarkan dipersepsikan publik berasal mata air pegunungan alami sumber utamanya sumur bor"/>
    <m/>
    <s v="inspeksi, mendadak, gubernur, jawa, barat, dedi, mulyadi, pabrik, aqua, kawasan, subang, jawa, barat, mengungkap, fakta, mengejutkan, produk, air, mineral, air, mineral, dipasarkan, dipersepsikan, publik, berasal, mata, air, pegunungan, alami, sumber, utamanya, sumur, bor"/>
    <x v="0"/>
    <n v="0.92194509506225497"/>
  </r>
  <r>
    <x v="5"/>
    <s v="Gubernur Jawa Barat (saat itu) Dedi Mulyadi (KDM) menemukan fakta miris usai melakukan inspeksi mendadak (sidak) ke pabrik air mineral kemasan merek Aqua di Subang. Sidak ini dilakukan menyusul kecelakaan maut yang melibatkan truk tronton bermuatan Aqua di wilayah Subang, yang menewaskan tiga orang dan melibatkan enam kendaraan._x000a__x000a_KDM menemukan adanya praktik eksploitasi tenaga kerja dan penggunaan armada tua dengan muatan berlebihan, yang diduga menjadi pemicu kec*lak*an._x000a__x000a_Fakta yang paling mengejutkan adalah upah yang diterima oleh para sopir. _x000a__x000a_Seorang kakek sopir truk hanya diberi upah Rp125.000 untuk mengangkut 13 ton galon air mineral, padahal batas normalnya hanya 5 ton._x000a__x000a_Ironisnya, tenaga sopir diperas hingga tiga kali lipat, namun upah harian mereka bahkan tidak cukup untuk mengisi setengah tangki solar truk yang dikendarai._x000a__x000a_Dalam sidak tersebut, KDM juga mendapati kondisi truk yang dipakai untuk mengangkut air mineral tersebut. Truk tronton yang terlibat kecelakaan maut itu diketahui merupakan keluaran tahun 2010 dan setiap hari mengangkut beban hingga 14 ton air mineral, jauh melebihi batas standar._x000a__x000a_Melihat temuan ini, Dedi Mulyadi melontarkan teguran keras kepada pihak perusahaan. Ia menilai perusahaan besar tersebut seharusnya malu karena bekerja sama dengan pihak angkutan yang menawarkan harga murah namun memiliki risiko keselamatan yang sangat tinggi."/>
    <s v="FAJAR.CO.ID"/>
    <s v="INSTAGRAM"/>
    <n v="1927"/>
    <n v="81"/>
    <n v="2008"/>
    <n v="2.0899999999999998E-2"/>
    <n v="1809690"/>
    <x v="35"/>
    <s v="https://www.instagram.com/reel/DQMVRRNkWXz/"/>
    <s v="gubernur jawa barat dedi mulyadi kdm menemukan fakta miris inspeksi mendadak sidak pabrik air mineral kemasan merek aqua subang sidak menyusul kecelakaan maut melibatkan truk tronton bermuatan aqua wilayah subang menewaskan orang melibatkan enam kendaraan kdm menemukan praktik eksploitasi tenaga kerja penggunaan armada tua muatan diduga pemicu keclakan fakta mengejutkan upah diterima sopir kakek sopir truk upah rp mengangkut ton galon air mineral batas normalnya ton ironisnya tenaga sopir diperas kali lipat upah harian mengisi tangki solar truk dikendarai sidak kdm mendapati kondisi truk dipakai mengangkut air mineral truk tronton terlibat kecelakaan maut keluaran mengangkut beban ton air mineral melebihi batas standar temuan dedi mulyadi melontarkan teguran keras perusahaan menilai perusahaan malu angkutan menawarkan harga murah memiliki risiko keselamatan"/>
    <m/>
    <s v="gubernur, jawa, barat, dedi, mulyadi, kdm, menemukan, fakta, miris, inspeksi, mendadak, sidak, pabrik, air, mineral, kemasan, merek, aqua, subang, sidak, menyusul, kecelakaan, maut, melibatkan, truk, tronton, bermuatan, aqua, wilayah, subang, menewaskan, orang, melibatkan, enam, kendaraan, kdm, menemukan, praktik, eksploitasi, tenaga, kerja, penggunaan, armada, tua, muatan, diduga, pemicu, keclakan, fakta, mengejutkan, upah, diterima, sopir, kakek, sopir, truk, upah, rp, mengangkut, ton, galon, air, mineral, batas, normalnya, ton, ironisnya, tenaga, sopir, diperas, kali, lipat, upah, harian, mengisi, tangki, solar, truk, dikendarai, sidak, kdm, mendapati, kondisi, truk, dipakai, mengangkut, air, mineral, truk, tronton, terlibat, kecelakaan, maut, keluaran, mengangkut, beban, ton, air, mineral, melebihi, batas, standar, temuan, dedi, mulyadi, melontarkan, teguran, keras, perusahaan, menilai, perusahaan, malu, angkutan, menawarkan, harga, murah, memiliki, risiko, keselamatan"/>
    <x v="0"/>
    <n v="0.67641502618789595"/>
  </r>
  <r>
    <x v="2"/>
    <s v="Jagat maya tengah ramai memperbincangkan video sidak yang dilakukan oleh Gubernur Jawa Barat, Dedi Mulyadi, ke salah satu pabrik air mineral di Subang, Jawa Barat._x000a__x000a_Dalam video yang viral di media sosial itu, Dedi, yang akrab disapa KDM, mempertanyakan klaim iklan â€˜air pegunungan alamiâ€™ yang selama ini menjadi identitas kuat merek air mineral dalam kemasan (AMDK) terbesar di Indonesia tersebut._x000a__x000a_Awalnya, KDM mempersoalkan jalan provinsi yang digunakan oleh perusahaan. â€œJalan yang bagus dibangun provinsi tiap hari, ini hanya akan membahagiakan PT AQUA,â€ terangnya kepada staf perusahaan AMDK tersebut._x000a__x000a_Yang mengejutkan, sidak itu juga mengungkap bahwa air yang diproduksi perusahaan tersebut ternyata berasal dari pengeboran air tanah dalam (sumur bor), bukan dari mata air alami di permukaan gunung sebagaimana diasosiasikan dalam promosi produknya._x000a__x000a_??: Kang Dedi Mulyadi_x000a_??: Jawa Post_x000a__x000a_Mau kirim berita ? Silahkan DM /  WA : 0812-4959-2946_x000a__x000a_#infomalangan"/>
    <s v="INFO MALANG TERUPDATE ??"/>
    <s v="INSTAGRAM"/>
    <n v="1358"/>
    <n v="89"/>
    <n v="1447"/>
    <n v="5.5999999999999999E-3"/>
    <n v="1809480"/>
    <x v="36"/>
    <s v="https://www.instagram.com/p/DQIzdCdEkBk/"/>
    <s v="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kang dedi mulyadi jawa post kirim berita silahkan dm wa"/>
    <s v="infomalangan"/>
    <s v="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kang, dedi, mulyadi, jawa, post, kirim, berita, silahkan, dm, wa"/>
    <x v="0"/>
    <n v="0.72461712360382002"/>
  </r>
  <r>
    <x v="5"/>
    <s v="AQUA mendengar dan menghargai setiap pertanyaan Anda._x000a_ _x000a_AQUA telah hadir selama lebih dari lima dekade dan senantiasa berkomitmen untuk mengedepankan kualitas produk dan standar operasional kami._x000a_ _x000a_Karena itu, AQUA berupaya memberikan informasi dan edukasi yang akurat untuk menjawab berbagai kekhawatiran yang belakangan ini beredar._x000a_ _x000a_Semoga melalui video ini, berbagai misinformasi yang beredar dapat diluruskan dengan baik._x000a_ _x000a_Sekali lagi terima kasih atas kepercayaan dan dukungan sahabat &amp; keluarga AQUA di mana pun Anda berada._x000a__x000a_#iNews #Aqua"/>
    <s v="officialinews"/>
    <s v="INSTAGRAM"/>
    <n v="1289"/>
    <n v="496"/>
    <n v="1785"/>
    <n v="1.4E-3"/>
    <n v="1809110"/>
    <x v="37"/>
    <s v="https://www.instagram.com/p/DQMnKjMk5ZB/"/>
    <s v="aqua mendengar menghargai aqua hadir dekade senantiasa berkomitmen mengedepankan kualitas produk standar operasional aqua berupaya informasi edukasi akurat kekhawatiran beredar semoga video misinformasi beredar diluruskan terima kasih kepercayaan dukungan sahabat keluarga aqua"/>
    <s v="inews, aqua"/>
    <s v="aqua, mendengar, menghargai, aqua, hadir, dekade, senantiasa, berkomitmen, mengedepankan, kualitas, produk, standar, operasional, aqua, berupaya, informasi, edukasi, akurat, kekhawatiran, beredar, semoga, video, misinformasi, beredar, diluruskan, terima, kasih, kepercayaan, dukungan, sahabat, keluarga, aqua"/>
    <x v="1"/>
    <n v="0.98324155807495095"/>
  </r>
  <r>
    <x v="2"/>
    <s v="Produsen air minum dalam kemasan (AMDK) Aqua, PT Tirta Investama, segera merilis klarifikasi resmi menyusul viralnya video kunjungan Gubernur Jawa Barat Dedi Mulyadi (KDM) ke pabrik mereka di Subang. Klarifikasi ini bertujuan meluruskan informasi yang beredar di media sosial yang menyebut Aqua menggunakan air dari sumur bor biasa alih-alih air pegunungan, serta menyoroti isu pajak dan dampak lingkungan._x000a__x000a_Dalam video terbarunya, KDM sempat terkejut saat mengetahui sumber air Aqua berasal dari empat sumur sedalam lebih dari 100 meter, yang selama ini dipahaminya sebagai air permukaan._x000a__x000a_Menanggapi temuan tersebut, Aqua membantah keras tuduhan menggunakan sumur bor biasa. Perusahaan menegaskan bahwa mereka mengambil air dari akuifer dalam yang merupakan bagian tak terpisahkan dari sistem hidrogeologi pegunungan. Sumber air ini, diklaim Aqua, terlindungi secara alami dan telah melalui proses seleksi serta kajian ilmiah mendalam oleh para ahli dari UGM dan Unpad._x000a__x000a_Aqua juga meyakinkan publik bahwa pengambilan air tidak mengganggu sumber air masyarakat karena berasal dari lapisan yang terpisah dan tidak bersinggungan dengan air permukaan yang digunakan warga. Proses ekstraksi ini dilakukan sesuai izin pemerintah dan diawasi secara berkala oleh instansi terkait, seperti Badan Geologi Kementerian ESDM._x000a__x000a_Selain menjamin operasinya tidak menyebabkan pergeseran tanah atau longsor berdasarkan kajian bersama UGM, perusahaan menyatakan aktif menjalankan konservasi lingkungan._x000a__x000a_Terkait isu regulasi, Aqua menegaskan komitmen penuh pada transparansi dan integritas. Perusahaan menyatakan telah mengantongi SIPA (Surat Izin Pengusahaan Air Tanah), hanya mengambil air sesuai dengan kuota yang ditetapkan, dan volume air yang diambil dilaporkan secara transparan serta diaudit oleh pemerintah._x000a__x000a_Aqua juga menyatakan secara konsisten dan transparan memenuhi seluruh kewajiban perpajakan dan retribusi atas pengambilan air sesuai dengan peraturan yang berlaku, dengan pembayaran dilakukan secara resmi di Direktorat Jenderal Pajak._x000a__x000a_#kdm #dedimulyadi #aqua #majalengka #infomjlk #mjlk #medianaurangmajalengka #jawabarat #indonesia"/>
    <s v="MAJALENGKA"/>
    <s v="INSTAGRAM"/>
    <n v="1124"/>
    <n v="136"/>
    <n v="1260"/>
    <n v="4.5999999999999999E-3"/>
    <n v="1808860"/>
    <x v="38"/>
    <s v="https://www.instagram.com/p/DQJPIRLElB7/"/>
    <s v="produsen air minum kemasan amdk aqua pt tirta investama merilis klarifikasi resmi menyusul viralnya video kunjungan gubernur jawa barat dedi mulyadi kdm pabrik subang klarifikasi bertujuan meluruskan informasi beredar media sosial menyebut aqua air sumur bor alihalih air pegunungan menyoroti isu pajak dampak lingkungan video terbarunya kdm terkejut sumber air aqua berasal sumur sedalam meter dipahaminya air permukaan menanggapi temuan aqua membantah keras tuduhan sumur bor perusahaan mengambil air akuifer terpisahkan sistem hidrogeologi pegunungan sumber air diklaim aqua terlindungi alami proses seleksi kajian ilmiah mendalam ahli ugm unpad aqua publik pengambilan air mengganggu sumber air masyarakat berasal lapisan terpisah bersinggungan air permukaan warga proses ekstraksi sesuai izin pemerintah diawasi berkala instansi terkait badan geologi kementerian esdm menjamin operasinya menyebabkan pergeseran tanah longsor berdasarkan kajian ugm perusahaan aktif menjalankan konservasi lingkungan terkait isu regulasi aqua komitmen penuh transparansi integritas perusahaan mengantongi sipa surat izin pengusahaan air tanah mengambil air sesuai kuota ditetapkan volume air diambil dilaporkan transparan diaudit pemerintah aqua konsisten transparan memenuhi kewajiban perpajakan retribusi pengambilan air sesuai peraturan berlaku pembayaran resmi direktorat jenderal pajak"/>
    <s v="kdm, dedimulyadi, aqua, majalengka, infomjlk, mjlk, medianaurangmajalengka, jawabarat, indonesia"/>
    <s v="produsen, air, minum, kemasan, amdk, aqua, pt, tirta, investama, merilis, klarifikasi, resmi, menyusul, viralnya, video, kunjungan, gubernur, jawa, barat, dedi, mulyadi, kdm, pabrik, subang, klarifikasi, bertujuan, meluruskan, informasi, beredar, media, sosial, menyebut, aqua, air, sumur, bor, alihalih, air, pegunungan, menyoroti, isu, pajak, dampak, lingkungan, video, terbarunya, kdm, terkejut, sumber, air, aqua, berasal, sumur, sedalam, meter, dipahaminya, air, permukaan, menanggapi, temuan, aqua, membantah, keras, tuduhan, sumur, bor, perusahaan, mengambil, air, akuifer, terpisahkan, sistem, hidrogeologi, pegunungan, sumber, air, diklaim, aqua, terlindungi, alami, proses, seleksi, kajian, ilmiah, mendalam, ahli, ugm, unpad, aqua, publik, pengambilan, air, mengganggu, sumber, air, masyarakat, berasal, lapisan, terpisah, bersinggungan, air, permukaan, warga, proses, ekstraksi, sesuai, izin, pemerintah, diawasi, berkala, instansi, terkait, badan, geologi, kementerian, esdm, menjamin, operasinya, menyebabkan, pergeseran, tanah, longsor, berdasarkan, kajian, ugm, perusahaan, aktif, menjalankan, konservasi, lingkungan, terkait, isu, regulasi, aqua, komitmen, penuh, transparansi, integritas, perusahaan, mengantongi, sipa, surat, izin, pengusahaan, air, tanah, mengambil, air, sesuai, kuota, ditetapkan, volume, air, diambil, dilaporkan, transparan, diaudit, pemerintah, aqua, konsisten, transparan, memenuhi, kewajiban, perpajakan, retribusi, pengambilan, air, sesuai, peraturan, berlaku, pembayaran, resmi, direktorat, jenderal, pajak"/>
    <x v="0"/>
    <n v="0.66010648012161199"/>
  </r>
  <r>
    <x v="7"/>
    <s v="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_x000a__x000a_Salah satu pemilik warung makan di Kota Malang, Tiamah, mengungkapkan bahwa permintaan konsumen terhadap Aqua memang sudah berkurang jauh, bahkan sebelum muncul isu sumur bor itu._x000a__x000a_â€œJarang sekarang saya ambil merek Aqua, soalnya sudah jarang yang mau beli. Biasanya sekarang orang lebih suka Le Minerale, Cleo, atau yang baru itu, Aquiviva (merek lain air mineral),â€ ujar Tiamah, Minggu (26/10/2025)._x000a__x000a_Sementara itu, salah satu konsumen di Kota Malang, Abel, mengaku sudah lama tidak membeli Aqua. Ia menilai informasi yang beredar di media sosial tentang penggunaan air sumur bor membuatnya makin enggan membeli produk tersebut._x000a__x000a_â€œSaya dari dulu memang jarang beli Aqua, lebih suka Le Minerale atau Cleo. Tapi setelah tahu dari medsos kalau Aqua katanya dari sumur bor, ya makin gak mau beli,â€ kata Abel._x000a__x000a_KALIAN TIM AIR MINERAL MEREK APA REK?_x000a__x000a_Sumber: TIMES INDONESIA"/>
    <s v="PANORAMA MALANG"/>
    <s v="INSTAGRAM"/>
    <n v="1058"/>
    <n v="408"/>
    <n v="1466"/>
    <n v="5.1000000000000004E-3"/>
    <n v="1808440"/>
    <x v="39"/>
    <s v="https://www.instagram.com/p/DQUJr8zkp9b/"/>
    <s v="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salah konsumen kota malang abel mengaku membeli aqua menilai informasi beredar media sosial penggunaan air sumur bor membuatnya enggan membeli produk jarang beli aqua suka le minerale cleo medsos aqua sumur bor ya gak beli abel tim air mineral merek rek sumber times indonesia"/>
    <m/>
    <s v="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salah, konsumen, kota, malang, abel, mengaku, membeli, aqua, menilai, informasi, beredar, media, sosial, penggunaan, air, sumur, bor, membuatnya, enggan, membeli, produk, jarang, beli, aqua, suka, le, minerale, cleo, medsos, aqua, sumur, bor, ya, gak, beli, abel, tim, air, mineral, merek, rek, sumber, times, indonesia"/>
    <x v="2"/>
    <n v="0.59947752952575595"/>
  </r>
  <r>
    <x v="5"/>
    <s v="Let the sunlight be your spotlight âœ¨âœ¨_x000a__x000a_Buat aku yang sering di luar ruangan, sunscreen udah kayak bestie setiap hari ????_x000a_Aku pakai id.biore UV Aqua Rich Watery Essence SPF 50+ PA++++, sunscreen no.1 dari Jepang yang punya High Protection &amp; Light Texture in one product._x000a_Teksturnya super ringan, cepat nyerap, gak whitecast sama sekali â€” dan ada Hyaluronic Acid + Royal Jelly Extract biar kulit tetep lembap &amp; sehat ??_x000a__x000a_#HighProtectionLightTexture #BioreUVAquaRich #SunlightIsYourSpotlight"/>
    <s v="MerdiOctav Sahetapy"/>
    <s v="INSTAGRAM"/>
    <n v="1267"/>
    <n v="42"/>
    <n v="1309"/>
    <n v="2.7000000000000001E-3"/>
    <n v="1808330"/>
    <x v="40"/>
    <s v="https://www.instagram.com/reel/DQMIEx9kplK/"/>
    <s v="let the sunlight be your spotlight ruangan sunscreen udah kayak bestie pakai idbiore uv aqua rich watery essence spf pa sunscreen no jepang high protection light texture in one product teksturnya super ringan cepat nyerap gak whitecast hyaluronic acid royal jelly extract biar kulit tetep lembap sehat"/>
    <s v="highprotectionlighttexture, bioreuvaquarich, sunlightisyourspotlight"/>
    <s v="let, the, sunlight, be, your, spotlight, ruangan, sunscreen, udah, kayak, bestie, pakai, idbiore, uv, aqua, rich, watery, essence, spf, pa, sunscreen, no, jepang, high, protection, light, texture, in, one, product, teksturnya, super, ringan, cepat, nyerap, gak, whitecast, hyaluronic, acid, royal, jelly, extract, biar, kulit, tetep, lembap, sehat"/>
    <x v="1"/>
    <n v="0.96976310014724698"/>
  </r>
  <r>
    <x v="1"/>
    <s v="KDM Bongkar Fakta di Balik Air Kemasan: Bukan dari Mata Air, tapi dari Sumur Bor. _x000a__x000a_Sidak Gubernur Jawa Barat Dedi Mulyadi (KDM) pada Selasa 21 Oktober 2025 mengungkap temuan mengejutkan._x000a__x000a_Air minum dalam kemasan (AMDK) dari salah satu merek besar ternyata bukan berasal dari mata air alami, melainkan air tanah dalam hasil pengeboran artesis hingga 100 meter lebih di bawah permukaan bumi._x000a__x000a_Masyarakat di sekitar pabrik, dari Jawa Barat hingga Jawa Timur, mulai merasakan dampaknya:_x000a_sumur menipis, sawah mengering, dan musim kemarau jadi makin panjang._x000a__x000a_??ï¸ â€œAir tanah adalah warisan kehidupan. Ia diam, tapi ketika habis, bumi akan retak,â€ tegas KDM._x000a__x000a_Sidak ini bukan sekadar soal izin â€” tapi soal hak publik atas air, sumber hidup yang seharusnya dijaga bersama._x000a_-_x000a_-_x000a_naskah: inilah.com_x000a__x000a_#bogorterkini #KDM #DediMulyadi #AirTanah #AQUA #Danone #JawaBarat #Lingkungan"/>
    <s v="BOGOR TERKINI"/>
    <s v="INSTAGRAM"/>
    <n v="6576"/>
    <n v="705"/>
    <n v="7281"/>
    <n v="2.6599999999999999E-2"/>
    <n v="1808320"/>
    <x v="41"/>
    <s v="https://www.instagram.com/reel/DQHOwdQE5ld/"/>
    <s v="kdm bongkar fakta air kemasan mata air sumur bor sidak gubernur jawa barat dedi mulyadi kdm selasa oktober mengungkap temuan mengejutkan air minum kemasan amdk salah merek berasal mata air alami air tanah hasil pengeboran artesis meter permukaan bumi masyarakat pabrik jawa barat jawa timur merasakan dampaknya sumur menipis sawah mengering musim kemarau air tanah warisan kehidupan diam habis bumi retak kdm sidak izin hak publik air sumber hidup dijaga naskah inilahcom"/>
    <s v="bogorterkini, kdm, dedimulyadi, airtanah, aqua, danone, jawabarat, lingkungan"/>
    <s v="kdm, bongkar, fakta, air, kemasan, mata, air, sumur, bor, sidak, gubernur, jawa, barat, dedi, mulyadi, kdm, selasa, oktober, mengungkap, temuan, mengejutkan, air, minum, kemasan, amdk, salah, merek, berasal, mata, air, alami, air, tanah, hasil, pengeboran, artesis, meter, permukaan, bumi, masyarakat, pabrik, jawa, barat, jawa, timur, merasakan, dampaknya, sumur, menipis, sawah, mengering, musim, kemarau, air, tanah, warisan, kehidupan, diam, habis, bumi, retak, kdm, sidak, izin, hak, publik, air, sumber, hidup, dijaga, naskah, inilahcom"/>
    <x v="0"/>
    <n v="0.89651805162429798"/>
  </r>
  <r>
    <x v="4"/>
    <s v="Bener-bener deh Aqua, dimana-mana gak disukai. Semoga brand lokal cepat naik dan gantikan saudara nya VIT &amp; Evian ini, aamiin._x000a__x000a_Tulis dong brand mineral lokal favoritmu di kolom komentar!!!_x000a__x000a_#Boycott #Buycut #Aqua #vit #Evian"/>
    <s v="Habib AMA"/>
    <s v="INSTAGRAM"/>
    <n v="1549"/>
    <n v="196"/>
    <n v="1745"/>
    <n v="1.6299999999999999E-2"/>
    <n v="1807910"/>
    <x v="42"/>
    <s v="https://www.instagram.com/reel/DQRkOLHiQff/"/>
    <s v="benerbener deh aqua dimanamana gak disukai semoga brand lokal cepat gantikan saudara nya vit evian aamiin tulis brand mineral lokal favoritmu kolom komentar"/>
    <s v="boycott, buycut, aqua, vit, evian"/>
    <s v="benerbener, deh, aqua, dimanamana, gak, disukai, semoga, brand, lokal, cepat, gantikan, saudara, nya, vit, evian, aamiin, tulis, brand, mineral, lokal, favoritmu, kolom, komentar"/>
    <x v="1"/>
    <n v="0.98240417242050104"/>
  </r>
  <r>
    <x v="2"/>
    <s v="PT Tirta Investama, produsen Aqua, memberikan klarifikasi resmi terkait kunjungan Gubernur Jawa Barat Dedi Mulyadi ke pabrik mereka di Subang, Jawa Barat. _x000a__x000a_Klarifikasi ini bertujuan untuk menjawab berbagai isu yang muncul di media sosial, termasuk klaim bahwa Aqua menggunakan air dari sumur bor biasa, bukan dari sumber air pegunungan. _x000a__x000a_Aqua menegaskan sumber air yang digunakan bukan berasal dari sumur bor biasa, melainkan dari akuifer dalam lapisan air tanah alami yang terbentuk di sistem hidrogeologi pegunungan._x000a__x000a_&quot;Tidak benar. AQUA menggunakan air dari akuifer dalam yang merupakan bagian dari sistem hidrogeologi pegunungan. Air ini terlindungi secara alami dan telah melalui proses seleksi serta kajian ilmiah oleh para ahli dari UGM dan Unpad. Sebagian titik sumber bahkan bersifat self-flowing atau mengalir secara alami,&quot; jelas Aqua dalam keterangan resminya._x000a__x000a_Aqua memastikan bahwa sumber air yang mereka ambil dari akuifer dalam tidak berdampak pada sumber air yang digunakan masyarakat. _x000a__x000a_Pengambilan air dilakukan sesuai izin resmi dan diawasi oleh Badan Geologi Kementerian ESDM serta pemerintah daerah. Aqua juga memiliki Kebijakan Perlindungan Air Tanah Dalam. _x000a__x000a_Terkait potensi longsor, perusahaan menjelaskan bahwa proses pengambilan air diawasi secara ketat dan berdasarkan kajian dengan UGM, sehingga tidak menimbulkan pergeseran tanah atau longsor._x000a__x000a_&quot;Berdasarkan kajian bersama UGM, pengambilan air dilakukan secara terkendali dan tidak menyebabkan pergeseran tanah maupun longsor,&quot; tegas Danone-Aqua._x000a__x000a_Via Danone-AQUA"/>
    <s v="Trendingbuzz"/>
    <s v="INSTAGRAM"/>
    <n v="11252"/>
    <n v="2694"/>
    <n v="13946"/>
    <n v="5.5899999999999998E-2"/>
    <n v="1807870"/>
    <x v="43"/>
    <s v="https://www.instagram.com/p/DQIzuE1AaBh/"/>
    <s v="pt tirta investama produsen aqua klarifikasi resmi terkait kunjungan gubernur jawa barat dedi mulyadi pabrik subang jawa barat klarifikasi bertujuan isu muncul media sosial klaim aqua air sumur bor sumber air pegunungan aqua sumber air berasal sumur bor akuifer lapisan air tanah alami terbentuk sistem hidrogeologi pegunungan aqua air akuifer sistem hidrogeologi pegunungan air terlindungi alami proses seleksi kajian ilmiah ahli ugm unpad titik sumber bersifat selfflowing mengalir alami aqua keterangan resminya aqua sumber air ambil akuifer berdampak sumber air masyarakat pengambilan air sesuai izin resmi diawasi badan geologi kementerian esdm pemerintah daerah aqua memiliki kebijakan perlindungan air tanah terkait potensi longsor perusahaan proses pengambilan air diawasi ketat berdasarkan kajian ugm menimbulkan pergeseran tanah longsor berdasarkan kajian ugm pengambilan air terkendali menyebabkan pergeseran tanah longsor danoneaqua via danoneaqua"/>
    <m/>
    <s v="pt, tirta, investama, produsen, aqua, klarifikasi, resmi, terkait, kunjungan, gubernur, jawa, barat, dedi, mulyadi, pabrik, subang, jawa, barat, klarifikasi, bertujuan, isu, muncul, media, sosial, klaim, aqua, air, sumur, bor, sumber, air, pegunungan, aqua, sumber, air, berasal, sumur, bor, akuifer, lapisan, air, tanah, alami, terbentuk, sistem, hidrogeologi, pegunungan, aqua, air, akuifer, sistem, hidrogeologi, pegunungan, air, terlindungi, alami, proses, seleksi, kajian, ilmiah, ahli, ugm, unpad, titik, sumber, bersifat, selfflowing, mengalir, alami, aqua, keterangan, resminya, aqua, sumber, air, ambil, akuifer, berdampak, sumber, air, masyarakat, pengambilan, air, sesuai, izin, resmi, diawasi, badan, geologi, kementerian, esdm, pemerintah, daerah, aqua, memiliki, kebijakan, perlindungan, air, tanah, terkait, potensi, longsor, perusahaan, proses, pengambilan, air, diawasi, ketat, berdasarkan, kajian, ugm, menimbulkan, pergeseran, tanah, longsor, berdasarkan, kajian, ugm, pengambilan, air, terkendali, menyebabkan, pergeseran, tanah, longsor, danoneaqua, via, danoneaqua"/>
    <x v="0"/>
    <n v="0.96157914400100697"/>
  </r>
  <r>
    <x v="2"/>
    <s v="Air mineral yang kita kira â€œmurni dari pegununganâ€, ternyata bikin heboh publik. Dedi Mulyadi baru-baru ini mengunggah sidak ke pabrik Aqua di Subang, menemukan bahwa sumber air ternyata berasal dari sumur bor dalam sekitar 100â€“130 meter ke dalam tanah, bukan dari mata air pegunungan seperti yang selama ini diposisikan dalam iklan._x000a__x000a_Temuan itu bikin banyak orang bertanya-tanya: apakah klaim â€œair pegununganâ€ cuma strategi marketing? Tak tinggal lama, Danone Indonesia menanggapi dengan bantahan yang menyatakan bahwa sumber air Aqua tetap berada di pegunungan, dan bahwa penggunaan sumur bor adalah bagian dari proses pemurnian atau pengambilan air yang memenuhi standar kualitas mereka. Karena adanya gap antara apa yang diklaim di iklan (mata air pegunungan alami) dan temuan lapangan (sumur bor dalam), banyak konsumen merasa kurang tersampaikan atau merasa dibohongi._x000a__x000a_Selain itu, Dedi juga mempermasalahkan hal lain, yaitu pembayaran pajak Aqua. Menurut Dedi, perusahaan air kemasan seperti Aqua sudah mengambil sumber daya alam dari daerah (contohnya Subang, Sukabumi, atau Klaten), tapi pajak besarnya justru disetor ke pusat atau kantor pusat di Jakarta, bukan ke pemerintah daerah tempat air itu diambil. Akibatnya, masyarakat sekitar sumber air nggak terlalu merasakan manfaat ekonomi langsung, padahal lingkungan mereka yang â€œmenyumbangâ€ airnya._x000a__x000a_Sumber: suara dan CNN Indonesia_x000a__x000a_#faktafakta #danone #aqua #sumbermataair #airpegunungan #sumurbor #dedimulyadi #infojabar"/>
    <s v="FAKTAFAKTA"/>
    <s v="INSTAGRAM"/>
    <n v="3348"/>
    <n v="159"/>
    <n v="3507"/>
    <n v="2.52E-2"/>
    <n v="1807810"/>
    <x v="44"/>
    <s v="https://www.instagram.com/reel/DQI_cxwk7C9/"/>
    <s v="air mineral murni pegunungan bikin heboh publik dedi mulyadi barubaru mengunggah sidak pabrik aqua subang menemukan sumber air berasal sumur bor meter tanah mata air pegunungan diposisikan iklan temuan bikin orang bertanyatanya klaim air pegunungan strategi marketing tinggal danone indonesia menanggapi bantahan sumber air aqua pegunungan penggunaan sumur bor proses pemurnian pengambilan air memenuhi standar kualitas gap diklaim iklan mata air pegunungan alami temuan lapangan sumur bor konsumen dibohongi dedi mempermasalahkan pembayaran pajak aqua dedi perusahaan air kemasan aqua mengambil sumber daya alam daerah contohnya subang sukabumi klaten pajak besarnya disetor pusat kantor pusat jakarta pemerintah daerah air diambil akibatnya masyarakat sumber air nggak merasakan manfaat ekonomi langsung lingkungan menyumbang airnya sumber suara cnn indonesia"/>
    <s v="faktafakta, danone, aqua, sumbermataair, airpegunungan, sumurbor, dedimulyadi, infojabar"/>
    <s v="air, mineral, murni, pegunungan, bikin, heboh, publik, dedi, mulyadi, barubaru, mengunggah, sidak, pabrik, aqua, subang, menemukan, sumber, air, berasal, sumur, bor, meter, tanah, mata, air, pegunungan, diposisikan, iklan, temuan, bikin, orang, bertanyatanya, klaim, air, pegunungan, strategi, marketing, tinggal, danone, indonesia, menanggapi, bantahan, sumber, air, aqua, pegunungan, penggunaan, sumur, bor, proses, pemurnian, pengambilan, air, memenuhi, standar, kualitas, gap, diklaim, iklan, mata, air, pegunungan, alami, temuan, lapangan, sumur, bor, konsumen, dibohongi, dedi, mempermasalahkan, pembayaran, pajak, aqua, dedi, perusahaan, air, kemasan, aqua, mengambil, sumber, daya, alam, daerah, contohnya, subang, sukabumi, klaten, pajak, besarnya, disetor, pusat, kantor, pusat, jakarta, pemerintah, daerah, air, diambil, akibatnya, masyarakat, sumber, air, nggak, merasakan, manfaat, ekonomi, langsung, lingkungan, menyumbang, airnya, sumber, suara, cnn, indonesia"/>
    <x v="2"/>
    <n v="0.97078001499176003"/>
  </r>
  <r>
    <x v="2"/>
    <s v="Kang Dedi Mulyadi kembali jadi sorotan setelah melakukan sidak ke salah satu pabrik Aqua, menindaklanjuti keluhan warga soal jalan rusak di sekitar area pabrik._x000a__x000a_Warga menilai, truk pengangkut air mineral dari pabrik tersebut sering melintas dengan beban berlebih, bikin jalan cepat rusak dan ngebuang dana rakyat buat perbaikan terus-menerus._x000a__x000a_Dalam video yang beredar, KDM terlihat menegur pihak pabrik dan menyoroti dugaan pelanggaran jam operasional serta kelebihan muatan. Aksi ini kembali menunjukkan sikap tegas KDM dalam memperjuangkan kepentingan masyarakat kecil._x000a__x000a_Karena kalau dibiarkan, jalan rusak bukan cuma soal aspal retak  tapi juga bukti kalau rakyat yang lagi-lagi harus nanggung akibatnya._x000a__x000a_#cruside"/>
    <s v="Crucial Side"/>
    <s v="INSTAGRAM"/>
    <n v="2447"/>
    <n v="85"/>
    <n v="2532"/>
    <n v="2.3E-3"/>
    <n v="1807420"/>
    <x v="45"/>
    <s v="https://www.instagram.com/reel/DQI2iFnEgag/"/>
    <s v="kang dedi mulyadi sorotan sidak salah pabrik aqua menindaklanjuti keluhan warga jalan rusak area pabrik warga menilai truk pengangkut air mineral pabrik melintas beban berlebih bikin jalan cepat rusak ngebuang dana rakyat perbaikan terusmenerus video beredar kdm menegur pabrik menyoroti dugaan pelanggaran jam operasional kelebihan muatan aksi sikap kdm memperjuangkan kepentingan masyarakat dibiarkan jalan rusak aspal retak bukti rakyat lagilagi nanggung akibatnya"/>
    <s v="cruside"/>
    <s v="kang, dedi, mulyadi, sorotan, sidak, salah, pabrik, aqua, menindaklanjuti, keluhan, warga, jalan, rusak, area, pabrik, warga, menilai, truk, pengangkut, air, mineral, pabrik, melintas, beban, berlebih, bikin, jalan, cepat, rusak, ngebuang, dana, rakyat, perbaikan, terusmenerus, video, beredar, kdm, menegur, pabrik, menyoroti, dugaan, pelanggaran, jam, operasional, kelebihan, muatan, aksi, sikap, kdm, memperjuangkan, kepentingan, masyarakat, dibiarkan, jalan, rusak, aspal, retak, bukti, rakyat, lagilagi, nanggung, akibatnya"/>
    <x v="2"/>
    <n v="0.98255699872970503"/>
  </r>
  <r>
    <x v="5"/>
    <s v="Tipu daya mereka terbongkar dengan cara-cara yang pastinya tidak mereka prediksi sebelumnya._x000a__x000a_ÙˆÙŽÙ…ÙŽÙƒÙŽØ±ÙÙˆÙ’Ø§ ÙˆÙŽÙ…ÙŽÙƒÙŽØ±ÙŽ Ø§Ù„Ù„Ù‘Ù°Ù‡Ù Û—ÙˆÙŽØ§Ù„Ù„Ù‘Ù°Ù‡Ù Ø®ÙŽÙŠÙ’Ø±Ù Ø§Ù„Ù’Ù…Ù°ÙƒÙØ±ÙÙŠÙ’Ù†ÙŽ à£–_x000a__x000a_Mereka (orang-orang kafir) membuat tipu daya dan Allah pun membalas tipu daya (mereka). Allah sebaik-baik pembalas tipu daya. (QS. Ali Imran Ayat 54)_x000a__x000a_Yuk mention juga, air mineral bebas afiliasi andalan mu di kolom komentar!_x000a__x000a_#BuyCut #BoyCott #Boikot #Aqua"/>
    <s v="Habib AMA"/>
    <s v="INSTAGRAM"/>
    <n v="2293"/>
    <n v="140"/>
    <n v="2433"/>
    <n v="2.2700000000000001E-2"/>
    <n v="1807030"/>
    <x v="42"/>
    <s v="https://www.instagram.com/reel/DQMOyLEiTrZ/"/>
    <s v="tipu daya terbongkar caracara pastinya prediksi orangorang kafir tipu daya allah membalas tipu daya allah sebaikbaik pembalas tipu daya qs ali imran ayat yuk mention air mineral bebas afiliasi andalan mu kolom komentar"/>
    <s v="buycut, boycott, boikot, aqua"/>
    <s v="tipu, daya, terbongkar, caracara, pastinya, prediksi, orangorang, kafir, tipu, daya, allah, membalas, tipu, daya, allah, sebaikbaik, pembalas, tipu, daya, qs, ali, imran, ayat, yuk, mention, air, mineral, bebas, afiliasi, andalan, mu, kolom, komentar"/>
    <x v="2"/>
    <n v="0.99316483736038197"/>
  </r>
  <r>
    <x v="2"/>
    <s v="Gubernur Jawa Barat, Dedi Mulyadi, melakukan kunjungan ke pabrik Aqua di Kabupaten Subang pada Senin (20/10/2025). Dalam sidaknya tersebut, Dedi menemukan sejumlah praktik yang dinilai merugikan masyarakat maupun para pekerja lapangan._x000a__x000a_Salah satu temuan mencolok adalah dugaan pelanggaran muatan truk pengangkut galon Aqua yang melebihi kapasitas. Dari hasil pengecekan, truk yang seharusnya hanya mengangkut 5 ton air galon, justru kedapatan membawa hingga 13 ton._x000a__x000a_â€œbeban muatan dibikin 3 kali lipat tapi upah sopirnya hanya Rp125 ribu,â€ ungkap Dedi Mulyadi saat meninjau langsung aktivitas bongkar muat di area pabrik._x000a__x000a_Menurutnya, praktik ini bukan hanya melanggar aturan keselamatan, tetapi juga berpotensi menyebabkan kerusakan infrastruktur, terutama jalan dan jembatan di wilayah Subang._x000a__x000a_â€œPemerintah Provinsi Jawa Barat sedang giat membangun dan memperbaiki jalan. Tapi kalau truk-truk besar terus membawa muatan berlebih seperti ini, ya percuma. Jalan yang baru diperbaiki bisa rusak lagi,â€ tegas Dedi._x000a__x000a_Ia juga menyoroti nasib para sopir truk yang disebutnya kerap dijadikan kambing hitam ketika terjadi kecelakaan akibat beban berlebih, padahal mereka hanya menjalankan perintah perusahaan._x000a__x000a_â€œMereka disuruh angkut lebih dari kapasitas, tapi kalau truk terguling atau jalan rusak, sopirnya yang disalahkan. Ini jelas tidak adil,â€ tambahnya._x000a__x000a_Dedi meminta pihak perusahaan untuk meninjau ulang sistem kerja dan pemberian upah bagi sopir agar sesuai dengan beban kerja yang dijalankan. Ia juga mengingatkan agar perusahaan besar seperti Aqua turut bertanggung jawab terhadap dampak sosial dan lingkungan dari operasionalnya.*and"/>
    <s v="FAJAR.CO.ID"/>
    <s v="INSTAGRAM"/>
    <n v="5502"/>
    <n v="162"/>
    <n v="5664"/>
    <n v="5.91E-2"/>
    <n v="1806690"/>
    <x v="35"/>
    <s v="https://www.instagram.com/reel/DQItz1olQj9/"/>
    <s v="gubernur jawa barat dedi mulyadi kunjungan pabrik aqua kabupaten subang senin sidaknya dedi menemukan praktik dinilai merugikan masyarakat pekerja lapangan salah temuan mencolok dugaan pelanggaran muatan truk pengangkut galon aqua melebihi kapasitas hasil pengecekan truk mengangkut ton air galon kedapatan membawa ton beban muatan dibikin kali lipat upah sopirnya rp ribu dedi mulyadi meninjau langsung aktivitas bongkar muat area pabrik menurutnya praktik melanggar aturan keselamatan berpotensi menyebabkan kerusakan infrastruktur jalan jembatan wilayah subang pemerintah provinsi jawa barat giat membangun memperbaiki jalan truktruk membawa muatan berlebih ya jalan diperbaiki rusak dedi menyoroti nasib sopir truk disebutnya kerap dijadikan kambing hitam kecelakaan akibat beban berlebih menjalankan perintah perusahaan disuruh angkut kapasitas truk terguling jalan rusak sopirnya disalahkan adil dedi perusahaan meninjau ulang sistem kerja pemberian upah sopir sesuai beban kerja dijalankan perusahaan aqua bertanggung dampak sosial lingkungan operasionalnyaand"/>
    <m/>
    <s v="gubernur, jawa, barat, dedi, mulyadi, kunjungan, pabrik, aqua, kabupaten, subang, senin, sidaknya, dedi, menemukan, praktik, dinilai, merugikan, masyarakat, pekerja, lapangan, salah, temuan, mencolok, dugaan, pelanggaran, muatan, truk, pengangkut, galon, aqua, melebihi, kapasitas, hasil, pengecekan, truk, mengangkut, ton, air, galon, kedapatan, membawa, ton, beban, muatan, dibikin, kali, lipat, upah, sopirnya, rp, ribu, dedi, mulyadi, meninjau, langsung, aktivitas, bongkar, muat, area, pabrik, menurutnya, praktik, melanggar, aturan, keselamatan, berpotensi, menyebabkan, kerusakan, infrastruktur, jalan, jembatan, wilayah, subang, pemerintah, provinsi, jawa, barat, giat, membangun, memperbaiki, jalan, truktruk, membawa, muatan, berlebih, ya, jalan, diperbaiki, rusak, dedi, menyoroti, nasib, sopir, truk, disebutnya, kerap, dijadikan, kambing, hitam, kecelakaan, akibat, beban, berlebih, menjalankan, perintah, perusahaan, disuruh, angkut, kapasitas, truk, terguling, jalan, rusak, sopirnya, disalahkan, adil, dedi, perusahaan, meninjau, ulang, sistem, kerja, pemberian, upah, sopir, sesuai, beban, kerja, dijalankan, perusahaan, aqua, bertanggung, dampak, sosial, lingkungan, operasionalnyaand"/>
    <x v="2"/>
    <n v="0.95952838659286499"/>
  </r>
  <r>
    <x v="2"/>
    <s v="Konten video di kanal YouTube Kang Dedi Mulyadi Channel (KDM) viral disorot publik. Dalam video tersebut, Gubernur Jawa Barat itu melakukan kunjungan ke salah satu lokasi pengolahan air mineral Aqua dan menanyakan langsung sumber air yang digunakan perusahaan tersebut._x000a_Dalam tayangan itu, Dedi menanyakan apakah air yang digunakan berasal dari sungai atau mata air permukaan._x000a__x000a_&quot;Ngambil airnya dari sungai?&quot; tanya Dedi._x000a__x000a_&quot;Airnya dari bawah tanah, Pak,&quot; jawab salah satu staf perusahaan._x000a__x000a_Dedi kemudian tampak terkejut dan memastikan ulang bahwa air yang digunakan benar-benar berasal dari bawah tanah melalui proses pengeboran. Ia juga sempat mempertanyakan potensi dampak lingkungan dari pengambilan air tanah tersebut, termasuk kemungkinan pergeseran tanah._x000a__x000a_&quot;Dikira oleh saya dari air permukaan, dari sungai atau mata air. Berarti kategorinya sumur pompa dalam?&quot; ujar Dedi._x000a__x000a_Dari penjelasan pihak pabrik, diketahui kedalaman sumur bor mencapai lebih dari 100 meter._x000a__x000a_&quot;Berapa kedalamannya? 132 meter, ya? Yang lain 102, ada juga yang 60 meter,&quot; tanya Dedi sambil mencatat."/>
    <s v="KEPOIN  TRENDING"/>
    <s v="INSTAGRAM"/>
    <n v="1103"/>
    <n v="149"/>
    <n v="1252"/>
    <n v="2.5999999999999999E-3"/>
    <n v="1806330"/>
    <x v="46"/>
    <s v="https://www.instagram.com/p/DQIpUnMkmES/"/>
    <s v="konten video kanal youtube kang dedi mulyadi channel kdm viral disorot publik video gubernur jawa barat kunjungan salah lokasi pengolahan air mineral aqua langsung sumber air perusahaan tayangan dedi air berasal sungai mata air permukaan ngambil airnya sungai dedi airnya tanah salah staf perusahaan dedi terkejut ulang air benarbenar berasal tanah proses pengeboran potensi dampak lingkungan pengambilan air tanah pergeseran tanah air permukaan sungai mata air kategorinya sumur pompa dedi penjelasan pabrik kedalaman sumur bor mencapai meter kedalamannya meter ya meter dedi mencatat"/>
    <m/>
    <s v="konten, video, kanal, youtube, kang, dedi, mulyadi, channel, kdm, viral, disorot, publik, video, gubernur, jawa, barat, kunjungan, salah, lokasi, pengolahan, air, mineral, aqua, langsung, sumber, air, perusahaan, tayangan, dedi, air, berasal, sungai, mata, air, permukaan, ngambil, airnya, sungai, dedi, airnya, tanah, salah, staf, perusahaan, dedi, terkejut, ulang, air, benarbenar, berasal, tanah, proses, pengeboran, potensi, dampak, lingkungan, pengambilan, air, tanah, pergeseran, tanah, air, permukaan, sungai, mata, air, kategorinya, sumur, pompa, dedi, penjelasan, pabrik, kedalaman, sumur, bor, mencapai, meter, kedalamannya, meter, ya, meter, dedi, mencatat"/>
    <x v="0"/>
    <n v="0.91724264621734597"/>
  </r>
  <r>
    <x v="1"/>
    <s v="Terima kasih Kang Dedi Mulyadi (KDM) yang makin membuka tabir kecurangan brand ini. Kami berdoa, semoga banyak brand air mineral lokal dari Jawa Barat yang naik ke permukaan dan segera gantikan brand air mineral terafiliasi._x000a__x000a_Yuk bantu KDM listing nama-nama brand air mineral lokal di Jawa Barat._x000a__x000a_#KDM #Sidak #Aqua #Buycut"/>
    <s v="Habib AMA"/>
    <s v="INSTAGRAM"/>
    <n v="5283"/>
    <n v="374"/>
    <n v="5657"/>
    <n v="5.28E-2"/>
    <n v="1806320"/>
    <x v="42"/>
    <s v="https://www.instagram.com/reel/DQHU8ZiicDU/"/>
    <s v="terima kasih kang dedi mulyadi kdm membuka tabir kecurangan brand berdoa semoga brand air mineral lokal jawa barat permukaan gantikan brand air mineral terafiliasi yuk bantu kdm listing namanama brand air mineral lokal jawa barat"/>
    <s v="kdm, sidak, aqua, buycut"/>
    <s v="terima, kasih, kang, dedi, mulyadi, kdm, membuka, tabir, kecurangan, brand, berdoa, semoga, brand, air, mineral, lokal, jawa, barat, permukaan, gantikan, brand, air, mineral, terafiliasi, yuk, bantu, kdm, listing, namanama, brand, air, mineral, lokal, jawa, barat"/>
    <x v="0"/>
    <n v="0.93443280458450295"/>
  </r>
  <r>
    <x v="7"/>
    <s v="Pernyataan tegas itu disampaikan Dedi dalam video inspeksi mendadak (sidak) yang diunggah di kanal YouTube Kang Dedi Mulyadi Channel, Rabu malam (22/10/2025) pukul 21.00 WIB. Sidak dilakukan di pabrik milik PT Tirta Investama yang berlokasi di Kabupaten Subang._x000a___x000a_Menurut Dedi, keberadaan truk ODOL tidak hanya merusak jalan, tetapi juga membahayakan keselamatan warga dan memperparah kerusakan infrastruktur yang dibiayai dari uang rakyat._x000a___x000a_Ia menegaskan, izin pengambilan air tanah akan menjadi alat pengendali hukum bagi perusahaan yang melanggar aturan. Ia meminta Aqua segera berbenah dan mengganti armada dengan truk yang sesuai spesifikasi resmi._x000a___x000a_Langkah Gubernur Dedi Mulyadi ini dinilai sebagai bentuk komitmen menjaga lingkungan, keselamatan, dan kesejahteraan rakyat. _x000a___x000a_Ia mengingatkan seluruh pelaku industri di Jawa Barat untuk tidak hanya mengejar keuntungan, tetapi juga bertanggung jawab terhadap dampak sosial dan infrastruktur."/>
    <s v="KRITIS, INFORMATIF, EDUKATIF"/>
    <s v="INSTAGRAM"/>
    <n v="4014"/>
    <n v="251"/>
    <n v="4265"/>
    <n v="2.3E-3"/>
    <n v="1806170"/>
    <x v="47"/>
    <s v="https://www.instagram.com/reel/DQTlccDErJU/"/>
    <s v="pernyataan dedi video inspeksi mendadak sidak diunggah kanal youtube kang dedi mulyadi channel rabu malam wib sidak pabrik milik pt tirta investama berlokasi kabupaten subang dedi keberadaan truk odol merusak jalan membahayakan keselamatan warga memperparah kerusakan infrastruktur dibiayai uang rakyat izin pengambilan air tanah alat pengendali hukum perusahaan melanggar aturan aqua berbenah mengganti armada truk sesuai spesifikasi resmi langkah gubernur dedi mulyadi dinilai bentuk komitmen menjaga lingkungan keselamatan kesejahteraan rakyat pelaku industri jawa barat mengejar keuntungan bertanggung dampak sosial infrastruktur"/>
    <m/>
    <s v="pernyataan, dedi, video, inspeksi, mendadak, sidak, diunggah, kanal, youtube, kang, dedi, mulyadi, channel, rabu, malam, wib, sidak, pabrik, milik, pt, tirta, investama, berlokasi, kabupaten, subang, dedi, keberadaan, truk, odol, merusak, jalan, membahayakan, keselamatan, warga, memperparah, kerusakan, infrastruktur, dibiayai, uang, rakyat, izin, pengambilan, air, tanah, alat, pengendali, hukum, perusahaan, melanggar, aturan, aqua, berbenah, mengganti, armada, truk, sesuai, spesifikasi, resmi, langkah, gubernur, dedi, mulyadi, dinilai, bentuk, komitmen, menjaga, lingkungan, keselamatan, kesejahteraan, rakyat, pelaku, industri, jawa, barat, mengejar, keuntungan, bertanggung, dampak, sosial, infrastruktur"/>
    <x v="2"/>
    <n v="0.60005402565002397"/>
  </r>
  <r>
    <x v="10"/>
    <s v="Aqua Klarifiksi seusai Viral Gara-gara Disidak Dedi Mulyadi, Tegaskan Sumber Air dari Pegunungan_x000a__x000a_Baca Berita Selengkapnya di Situs video.tribunnews.com_x000a__x000a_#aqua #dedimulyadi #sumberair #beritaterkini #tribunnews #tribunvideo"/>
    <s v="Tribun-Video.com Official"/>
    <s v="INSTAGRAM"/>
    <n v="685"/>
    <n v="163"/>
    <n v="848"/>
    <n v="1.6999999999999999E-3"/>
    <n v="1805830"/>
    <x v="48"/>
    <s v="https://www.instagram.com/reel/DQOxwK7DjwP/"/>
    <s v="aqua klarifiksi viral garagara disidak dedi mulyadi tegaskan sumber air pegunungan baca berita selengkapnya situs videotribunnewscom"/>
    <s v="aqua, dedimulyadi, sumberair, beritaterkini, tribunnews, tribunvideo"/>
    <s v="aqua, klarifiksi, viral, garagara, disidak, dedi, mulyadi, tegaskan, sumber, air, pegunungan, baca, berita, selengkapnya, situs, videotribunnewscom"/>
    <x v="0"/>
    <n v="0.98350799083709695"/>
  </r>
  <r>
    <x v="12"/>
    <s v="KecelakaanÂ beruntunÂ melibatkan sebuah truk, minibus hingga sepedaÂ motorÂ terjadi di Jalan Raya jurusan Bandung-Subang, Kampung Cileleuy, Desa Gunungtua, Kecamatan Cijambe, Kabupaten Subang, Kamis 9 Oktober 2025 siang. AkibatnyaÂ tiga orangÂ meninggalÂ duniaÂ di lokasi kejadian._x000a__x000a_Kabid Humas Polda Jawa Barat Kombes Pol Hendra Rochmawan mengatakan, kecelakaan beruntun melibatkanÂ trukÂ tronton, minibus Avanza, pick up, minibus Swift, minibus Calya, dan sepeda motor PCX. Akibat kejadian tersebut, tiga orang menjadi korbanÂ meninggalÂ dunia. â€œTiga orang penumpang pick up Minah, Nuriah, Imih meninggal dunia,â€ ujar Hendra, Kamis 9 Oktober 2025._x000a__x000a_Sedangkan sopirnya, ia menuturkan Endang Sunarya dan tiga orang penumpang Nurhasanah, Elis Roahaeti dan Putri Kaila mengalami luka-luka. Sementara pengendara PCX Aah Kurnaningsih dan penumpangnya Ida mengalami luka dan dibawa ke RSUD Ciereng Subang._x000a__x000a_Ia menuturkan, kendaraan yang terlibatÂ kecelakaanÂ diamankan ke kantor kepolisian Polres Subang. Sedangkan mereka yang mengalami luka ringan lima orang. Hendra mengatakan trukÂ trontonÂ yang dikemudikan D bermuatan air mineral Aqua datang dari arah selatan Bandung menuju Utara Subang. Saat melaju di jalan menurun menabrak bagian belakangÂ minibusÂ Avanza yang dikemudikan DJ. Kemudian truk tronton menabrak kendaraan yang dikemudikan Didin dan menabrak pick up yang membawa 8 orang penumpang._x000a__x000a_Selanjutnya pick up menabrak minibus Swift kemudian menabrak PCX. Kemudian tronton menabrak minibus Calya. Ia mengatakan petugas sudah melakukan olah tempat kejadian perkara, memeriksa sejumlah saksi dan mengamankan barang bukti. Serta mengevakuasi korban._x000a__x000a_Reporter: M. Fauzi Ridwan _x000a_Produser: Eko Supriyadi_x000a_Kreator: Hirzi_x000a__x000a_#Republika #CekRepublikaAja"/>
    <s v="Republika Online"/>
    <s v="INSTAGRAM"/>
    <n v="1503"/>
    <n v="80"/>
    <n v="1583"/>
    <n v="3.3999999999999998E-3"/>
    <n v="1805620"/>
    <x v="29"/>
    <s v="https://www.instagram.com/reel/DPlgAhJEnJD/"/>
    <s v="kecelakaan beruntun melibatkan truk minibus sepeda motor jalan raya jurusan bandungsubang kampung cileleuy desa gunungtua kecamatan cijambe kabupaten subang kamis oktober siang akibatnya orang meninggal dunia lokasi kejadian kabid humas polda jawa barat kombes pol hendra rochmawan kecelakaan beruntun melibatkan truk tronton minibus avanza pick up minibus swift minibus calya sepeda motor pcx akibat kejadian orang korban meninggal dunia orang penumpang pick up minah nuriah imih meninggal dunia hendra kamis oktober sopirnya endang sunarya orang penumpang nurhasanah elis roahaeti putri kaila mengalami lukaluka pengendara pcx aah kurnaningsih penumpangnya ida mengalami luka dibawa rsud ciereng subang kendaraan terlibat kecelakaan diamankan kantor kepolisian polres subang mengalami luka ringan orang hendra truk tronton dikemudikan d bermuatan air mineral aqua arah selatan bandung utara subang melaju jalan menurun menabrak minibus avanza dikemudikan dj truk tronton menabrak kendaraan dikemudikan didin menabrak pick up membawa orang penumpang pick up menabrak minibus swift menabrak pcx tronton menabrak minibus calya petugas olah kejadian perkara memeriksa saksi mengamankan barang bukti mengevakuasi korban reporter m fauzi ridwan produser eko supriyadi kreator hirzi"/>
    <s v="republika, cekrepublikaaja"/>
    <s v="kecelakaan, beruntun, melibatkan, truk, minibus, sepeda, motor, jalan, raya, jurusan, bandungsubang, kampung, cileleuy, desa, gunungtua, kecamatan, cijambe, kabupaten, subang, kamis, oktober, siang, akibatnya, orang, meninggal, dunia, lokasi, kejadian, kabid, humas, polda, jawa, barat, kombes, pol, hendra, rochmawan, kecelakaan, beruntun, melibatkan, truk, tronton, minibus, avanza, pick, up, minibus, swift, minibus, calya, sepeda, motor, pcx, akibat, kejadian, orang, korban, meninggal, dunia, orang, penumpang, pick, up, minah, nuriah, imih, meninggal, dunia, hendra, kamis, oktober, sopirnya, endang, sunarya, orang, penumpang, nurhasanah, elis, roahaeti, putri, kaila, mengalami, lukaluka, pengendara, pcx, aah, kurnaningsih, penumpangnya, ida, mengalami, luka, dibawa, rsud, ciereng, subang, kendaraan, terlibat, kecelakaan, diamankan, kantor, kepolisian, polres, subang, mengalami, luka, ringan, orang, hendra, truk, tronton, dikemudikan, d, bermuatan, air, mineral, aqua, arah, selatan, bandung, utara, subang, melaju, jalan, menurun, menabrak, minibus, avanza, dikemudikan, dj, truk, tronton, menabrak, kendaraan, dikemudikan, didin, menabrak, pick, up, membawa, orang, penumpang, pick, up, menabrak, minibus, swift, menabrak, pcx, tronton, menabrak, minibus, calya, petugas, olah, kejadian, perkara, memeriksa, saksi, mengamankan, barang, bukti, mengevakuasi, korban, reporter, m, fauzi, ridwan, produser, eko, supriyadi, kreator, hirzi"/>
    <x v="0"/>
    <n v="0.98374742269515902"/>
  </r>
  <r>
    <x v="1"/>
    <s v="Danone Indonesia buka suara soal konten di akun Youtube Gubernur Jawa Barat Dedi Mulyadi (Demul) alias KDM terkait sumber air Aqua. Dalam konten sidak Dedi Mulyadi itu, pengelola menyebut sumber air Aqua dari bawah tanah, bukan air permukaan._x000a__x000a_Di akun Youtube KANGDEDIMULYADICHANNEL mulanya Dedi bertanya dari mana sumber air yang dipakai sebagai bahan baku air mineral dalam kemasan itu._x000a__x000a_&quot;Ngambil airnya dari sungai?&quot; kata Dedi bertanya kepada salah satu staf yang menemuinya._x000a__x000a_&quot;Airnya dari bawah tanah pak,&quot; kata Staff tersebut._x000a__x000a_Manajemen Danone Indonesia buka suara terkait konten Dedi Mulyadi ini. Dalam keterangan tertulisnya, Danone menyatakan bahwa sumber air yang mereka pakai berasal dari sumber air pegunungan yang terlindungi._x000a__x000a_&quot;Air AQUA berasal dari 19 sumber air pegunungan yang tersebar di seluruh Indonesia. Setiap sumber air dipilih melalui proses seleksi ketat yang melibatkan 9 kriteria ilmiah, 5 tahapan evaluasi, Minimal 1 tahun penelitian,&quot; demikian keterangan Danone._x000a__x000a_Danone mengakui sumber airnya bukan berasal dari permukaan, namun dari akuifer dalam dengan kedalaman 60-140 meter._x000a__x000a_Simak berita selengkapnya hanya di tvonenews.com_x000a_#HardNews_Viral #NewsOne #CariBeritaditvOne #DediMulyadi #AQUA #Danone #Viral #NO3"/>
    <s v="tvOne"/>
    <s v="INSTAGRAM"/>
    <n v="22398"/>
    <n v="5534"/>
    <n v="27932"/>
    <n v="1.83E-2"/>
    <n v="1805550"/>
    <x v="49"/>
    <s v="https://www.instagram.com/p/DQHMmQLDjV4/"/>
    <s v="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
    <s v="hardnews_viral, newsone, cariberitaditvone, dedimulyadi, aqua, danone, viral, no3"/>
    <s v="danone, indonesia, buka, suara, konten, akun, youtube, gubernur, jawa, barat, dedi, mulyadi, demul, alias, kdm, terkait, sumber, air, aqua, konten, sidak, dedi, mulyadi, pengelola, menyebut, sumber, air, aqua, tanah, air, permukaan, akun, youtube, kangdedimulyadichannel, dedi, sumber, air, dipakai, bahan, baku, air, mineral, kemasan, ngambil, airnya, sungai, dedi, salah, staf, menemuinya, airnya, tanah, staff, manajemen, danone, indonesia, buka, suara, terkait, konten, dedi, mulyadi, keterangan, tertulisnya, danone, sumber, air, pakai, berasal, sumber, air, pegunungan, terlindungi, air, aqua, berasal, sumber, air, pegunungan, tersebar, indonesia, sumber, air, dipilih, proses, seleksi, ketat, melibatkan, kriteria, ilmiah, tahapan, evaluasi, minimal, penelitian, keterangan, danone, danone, mengakui, sumber, airnya, berasal, permukaan, akuifer, kedalaman, meter, simak, berita, selengkapnya, tvonenewscom"/>
    <x v="0"/>
    <n v="0.97607123851776101"/>
  </r>
  <r>
    <x v="1"/>
    <s v="Gubernur Jawa Barat Dedi Mulyadi (KDM) mengungkapkan temuan mengejutkan pada 21 Oktober 2025. _x000a__x000a_Ia menyebut, air minum dalam kemasan (AMDK) dari salah satu merek besar ternyata tidak bersumber dari mata air alami, melainkan berasal dari hasil pengeboran air tanah hingga kedalaman lebih dari 100 meter di bawah permukaan bumi._x000a__x000a_Data menunjukkan, Danone AQUA telah mengambil sekitar 15.737,79 megaliter air tanah sepanjang tahun 2023 atau setara dengan 43 ribu meter kubik setiap hari. _x000a__x000a_Akibatnya, di sejumlah wilayah terjadi penurunan muka air tanah 1â€“3 meter per tahun, bahkan tanah amblas hingga 23 sentimeter di sekitar kawasan industri air minum._x000a__x000a_Sementara warga di sekitar pabrik, dari Jawa Barat sampai Jawa Timur, mulai merasakan dampaknya: sumur menipis, sawah mengering, dan musim kemarau terasa lebih panjang._x000a__x000a_&quot;Air tanah adalah warisan kehidupan. Ia mungkin diam, tapi ketika habis, bumi bisa retak,â€ ujar KDM._x000a__x000a_Temuan ini bukan sekadar persoalan izin, tetapi menyangkut hak publik atas air sumber kehidupan yang seharusnya dilindungi untuk kepentingan bersama._x000a__x000a_#airkemasan #airminum #aqua #dedimulyadi #gubernurjabar #pabrikaqua #mataair #sumurbor #antaranewscom_x000a__x000a_Video: YouTube/kang dedi mulyadi channel | Editor: Indita"/>
    <s v="ANTARA News"/>
    <s v="INSTAGRAM"/>
    <n v="1860"/>
    <n v="244"/>
    <n v="2104"/>
    <n v="5.8999999999999999E-3"/>
    <n v="1805430"/>
    <x v="50"/>
    <s v="https://www.instagram.com/reel/DQHFzQaEvBf/"/>
    <s v="gubernur jawa barat dedi mulyadi kdm temuan mengejutkan oktober menyebut air minum kemasan amdk salah merek bersumber mata air alami berasal hasil pengeboran air tanah kedalaman meter permukaan bumi data danone aqua mengambil megaliter air tanah setara ribu meter kubik akibatnya wilayah penurunan muka air tanah meter tanah amblas sentimeter kawasan industri air minum warga pabrik jawa barat jawa timur merasakan dampaknya sumur menipis sawah mengering musim kemarau air tanah warisan kehidupan diam habis bumi retak kdm temuan izin hak publik air sumber kehidupan dilindungi kepentingan video youtubekang dedi mulyadi channel editor indita"/>
    <s v="airkemasan, airminum, aqua, dedimulyadi, gubernurjabar, pabrikaqua, mataair, sumurbor, antaranewscom"/>
    <s v="gubernur, jawa, barat, dedi, mulyadi, kdm, temuan, mengejutkan, oktober, menyebut, air, minum, kemasan, amdk, salah, merek, bersumber, mata, air, alami, berasal, hasil, pengeboran, air, tanah, kedalaman, meter, permukaan, bumi, data, danone, aqua, mengambil, megaliter, air, tanah, setara, ribu, meter, kubik, akibatnya, wilayah, penurunan, muka, air, tanah, meter, tanah, amblas, sentimeter, kawasan, industri, air, minum, warga, pabrik, jawa, barat, jawa, timur, merasakan, dampaknya, sumur, menipis, sawah, mengering, musim, kemarau, air, tanah, warisan, kehidupan, diam, habis, bumi, retak, kdm, temuan, izin, hak, publik, air, sumber, kehidupan, dilindungi, kepentingan, video, youtubekang, dedi, mulyadi, channel, editor, indita"/>
    <x v="0"/>
    <n v="0.61574310064315796"/>
  </r>
  <r>
    <x v="10"/>
    <s v="Kementerian ESDM buka suara perihal polemik sumber air yang digunakan oleh produsen air minum dalam kemasan (AMDK) AQUA, yang menggunakan air dari sumur bor bukan mata air._x000a__x000a_Wakil Menteri ESDM Yuliot Tanjung menjelaskan bahwa seluruh kegiatan pengambilan air tanah, termasuk yang dilakukan oleh perusahaan air minum dalam kemasan, sudah diatur dalam Peraturan Menteri ESDM._x000a__x000a_Aturan tersebut adalah Peraturan Menteri ESDM No. 14 Tahun 2024 tentang Penyelenggaraan Izin Pengusahaan Air Tanah dan Persetujuan Air Tanah. &quot;Jadi, untuk proses perizinannya sudah di detailkan di dalam Permen dan implementasinya di Badan Geologi,&quot; kata Yuliot di Kementerian ESDM, Jumat (24/10/2025)."/>
    <s v="CNBC Indonesia"/>
    <s v="INSTAGRAM"/>
    <n v="1433"/>
    <n v="297"/>
    <n v="1730"/>
    <n v="1.6000000000000001E-3"/>
    <n v="1804490"/>
    <x v="51"/>
    <s v="https://www.instagram.com/p/DQORot2CdJa/"/>
    <s v="kementerian esdm buka suara perihal polemik sumber air produsen air minum kemasan amdk aqua air sumur bor mata air wakil menteri esdm yuliot tanjung kegiatan pengambilan air tanah perusahaan air minum kemasan diatur peraturan menteri esdm aturan peraturan menteri esdm no penyelenggaraan izin pengusahaan air tanah persetujuan air tanah proses perizinannya detailkan permen implementasinya badan geologi yuliot kementerian esdm jumat"/>
    <m/>
    <s v="kementerian, esdm, buka, suara, perihal, polemik, sumber, air, produsen, air, minum, kemasan, amdk, aqua, air, sumur, bor, mata, air, wakil, menteri, esdm, yuliot, tanjung, kegiatan, pengambilan, air, tanah, perusahaan, air, minum, kemasan, diatur, peraturan, menteri, esdm, aturan, peraturan, menteri, esdm, no, penyelenggaraan, izin, pengusahaan, air, tanah, persetujuan, air, tanah, proses, perizinannya, detailkan, permen, implementasinya, badan, geologi, yuliot, kementerian, esdm, jumat"/>
    <x v="0"/>
    <n v="0.98256152868270796"/>
  </r>
  <r>
    <x v="13"/>
    <s v="Lari makin seru pas cuaca mendukung! ??ï¸_x000a_Seneng, semangat dan seger bareng AQUA di water station! ??_x000a__x000a_#GoodieBag13MiliarLebih #GoodieBagAlfamartRun13Miliar #GoodieBagSultan #GoodieBagFantastisAlfamart"/>
    <s v="alfamartrun"/>
    <s v="INSTAGRAM"/>
    <n v="2352"/>
    <n v="81"/>
    <n v="2433"/>
    <n v="2.1299999999999999E-2"/>
    <n v="1804410"/>
    <x v="52"/>
    <s v="https://www.instagram.com/reel/DP-J3ZBk1hz/"/>
    <s v="lari seru pas cuaca mendukung seneng semangat seger bareng aqua water station"/>
    <s v="goodiebag13miliarlebih, goodiebagalfamartrun13miliar, goodiebagsultan, goodiebagfantastisalfamart"/>
    <s v="lari, seru, pas, cuaca, mendukung, seneng, semangat, seger, bareng, aqua, water, station"/>
    <x v="1"/>
    <n v="0.99693346023559504"/>
  </r>
  <r>
    <x v="1"/>
    <s v="Gubernur Jawa Barat Dedi Mulyadi alias KDM mengungkap fakta soal sumber air minum dalam kemasan (AMDK) yang selama ini diyakini berasal dari mata air pegunungan. Melalui video sidak yang diunggah di kanal youtubenya pada Selasa (21/10/2025)._x000a__x000a_KDM menemukan bahwa air produksi salah satu perusahaan besar itu ternyata berasal dari air tanah dalam hasil pengeboran artesis sedalam lebih dari seratus meter._x000a__x000a_Temuan ini memicu pertanyaan soal dampak eksploitasi air tanah terhadap lingkungan dan warga sekitar. Pasalnya, sejumlah penelitian menunjukkan penurunan muka air tanah di beberapa daerah industri air minum mencapai 1â€“3 meter per tahun._x000a__x000a_Data 2023 mencatat, produsen terbesar AMDK di Indonesia, Danone-AQUA (sehataqua ), menggunakan 15.737,79 megaliter air tanah atau setara 43 ribu meter kubik per hari. Sebagian besar diambil dari akuifer vulkanik tua, cadangan air purba yang tidak mudah tergantikan._x000a__x000a_Meski secara hukum tak melanggar, praktik ini menimbulkan kritik terkait keberlanjutan sumber daya air dan kejujuran label produk. Sebab, iklan dan kemasan air masih menggambarkan kesan â€œsumber pegunungan alamiâ€, padahal prosesnya melibatkan pengeboran industri bertekanan tinggi di balik dinding pabrik. (Apr)"/>
    <s v="FAJAR.CO.ID"/>
    <s v="INSTAGRAM"/>
    <n v="93062"/>
    <n v="8861"/>
    <n v="101923"/>
    <n v="1.0730999999999999"/>
    <n v="1803160"/>
    <x v="35"/>
    <s v="https://www.instagram.com/reel/DQGDH4jEV1a/"/>
    <s v="gubernur jawa barat dedi mulyadi alias kdm mengungkap fakta sumber air minum kemasan amdk diyakini berasal mata air pegunungan video sidak diunggah kanal youtubenya selasa kdm menemukan air produksi salah perusahaan berasal air tanah hasil pengeboran artesis sedalam seratus meter temuan memicu dampak eksploitasi air tanah lingkungan warga pasalnya penelitian penurunan muka air tanah daerah industri air minum mencapai meter data mencatat produsen terbesar amdk indonesia danoneaqua sehataqua megaliter air tanah setara ribu meter kubik diambil akuifer vulkanik tua cadangan air purba mudah tergantikan hukum melanggar praktik menimbulkan kritik terkait keberlanjutan sumber daya air kejujuran label produk iklan kemasan air menggambarkan kesan sumber pegunungan alami prosesnya melibatkan pengeboran industri bertekanan dinding pabrik apr"/>
    <m/>
    <s v="gubernur, jawa, barat, dedi, mulyadi, alias, kdm, mengungkap, fakta, sumber, air, minum, kemasan, amdk, diyakini, berasal, mata, air, pegunungan, video, sidak, diunggah, kanal, youtubenya, selasa, kdm, menemukan, air, produksi, salah, perusahaan, berasal, air, tanah, hasil, pengeboran, artesis, sedalam, seratus, meter, temuan, memicu, dampak, eksploitasi, air, tanah, lingkungan, warga, pasalnya, penelitian, penurunan, muka, air, tanah, daerah, industri, air, minum, mencapai, meter, data, mencatat, produsen, terbesar, amdk, indonesia, danoneaqua, sehataqua, megaliter, air, tanah, setara, ribu, meter, kubik, diambil, akuifer, vulkanik, tua, cadangan, air, purba, mudah, tergantikan, hukum, melanggar, praktik, menimbulkan, kritik, terkait, keberlanjutan, sumber, daya, air, kejujuran, label, produk, iklan, kemasan, air, menggambarkan, kesan, sumber, pegunungan, alami, prosesnya, melibatkan, pengeboran, industri, bertekanan, dinding, pabrik, apr"/>
    <x v="0"/>
    <n v="0.69136929512023904"/>
  </r>
  <r>
    <x v="1"/>
    <s v="Heboh air mineral merk Aqua yang selama ini diklaim bersumber dari air pegunungan, ternyata berasal dari air dalam tanah yang dibor. Hal ini diketahui setelah Gubernur Jawa Barat (Jabar), Kang Dedi Mulyadi ( KDM) sidak ke pabrik Aqua di kawasan Subang belum lama ini._x000a__x000a_Warganet pun menjadi ramai dan merasa selama ini kena prank atas kenyataan tersebut. Terutama selama ini Aqua dalam iklannya mengklaim kalau air yang mereka kemas bersumber dari mata air pegunungan._x000a__x000a_Terbongkarnya sumber air Aqua tersebut terungkap dalam video di akun Tiktok kang dedi mulyadi, saat orang nomor satu di Jawa Barat tersebut sidak mendatangi langsung pabrik Aqua. KDM tampak disambut dua orang yang diduga pimpinan dipabrik tersebut._x000a__x000a_Saat KDM menanyakan sumber air yang dikemas Aqua, salah satunya yakni perempuan berkerudung menyebut mereka selama ini mengambilnya dari dalam tanah dengan cara dibor. Sontak hal ini pun ramai menjadi sorotan netizen._x000a__x000a_Dalam obrolan tersebut, KDM juga menanyakan perihal kendaraan truk yang digunakan untuk mengangkut hasil produksi kemasan. Karena selama ini KDM mendapat laporan jika truk-truk tersebut menyalahi aturan akibat terlalu besar._x000a__x000a_&quot;Kendaraan yang digunakan mestinya yang sesuai dengan kekuatan tonase jalan. Jangan malah dilewati truk Aqua yang truk besar atau tiga sumbu. Itu meeusak jalan. Belum lagi menjadi rawan kecelakaan, seperti terjadi menimpa warga beberapa waktu lalu,&quot; ujar KDM._x000a__x000a_??: kdm.4ri _x000a_??: pikiranrakyat"/>
    <s v="DEPOKFeed"/>
    <s v="INSTAGRAM"/>
    <n v="8025"/>
    <n v="668"/>
    <n v="8693"/>
    <n v="0.15509999999999999"/>
    <n v="1802810"/>
    <x v="53"/>
    <s v="https://www.instagram.com/reel/DQHLmtVD1bg/"/>
    <s v="heboh air mineral merk aqua diklaim bersumber air pegunungan berasal air tanah dibor gubernur jawa barat jabar kang dedi mulyadi kdm sidak pabrik aqua kawasan subang warganet ramai kena prank kenyataan aqua iklannya mengklaim air kemas bersumber mata air pegunungan terbongkarnya sumber air aqua terungkap video akun tiktok kang dedi mulyadi orang nomor jawa barat sidak langsung pabrik aqua kdm disambut orang diduga pimpinan dipabrik kdm sumber air dikemas aqua salah satunya perempuan berkerudung menyebut mengambilnya tanah dibor sontak ramai sorotan netizen obrolan kdm perihal kendaraan truk mengangkut hasil produksi kemasan kdm laporan truktruk menyalahi aturan akibat kendaraan mestinya sesuai kekuatan tonase jalan dilewati truk aqua truk sumbu meeusak jalan rawan kecelakaan menimpa warga kdm kdmri pikiranrakyat"/>
    <m/>
    <s v="heboh, air, mineral, merk, aqua, diklaim, bersumber, air, pegunungan, berasal, air, tanah, dibor, gubernur, jawa, barat, jabar, kang, dedi, mulyadi, kdm, sidak, pabrik, aqua, kawasan, subang, warganet, ramai, kena, prank, kenyataan, aqua, iklannya, mengklaim, air, kemas, bersumber, mata, air, pegunungan, terbongkarnya, sumber, air, aqua, terungkap, video, akun, tiktok, kang, dedi, mulyadi, orang, nomor, jawa, barat, sidak, langsung, pabrik, aqua, kdm, disambut, orang, diduga, pimpinan, dipabrik, kdm, sumber, air, dikemas, aqua, salah, satunya, perempuan, berkerudung, menyebut, mengambilnya, tanah, dibor, sontak, ramai, sorotan, netizen, obrolan, kdm, perihal, kendaraan, truk, mengangkut, hasil, produksi, kemasan, kdm, laporan, truktruk, menyalahi, aturan, akibat, kendaraan, mestinya, sesuai, kekuatan, tonase, jalan, dilewati, truk, aqua, truk, sumbu, meeusak, jalan, rawan, kecelakaan, menimpa, warga, kdm, kdmri, pikiranrakyat"/>
    <x v="0"/>
    <n v="0.73349171876907304"/>
  </r>
  <r>
    <x v="2"/>
    <s v="Gubernur Jawa Barat, Dedi Mulyadi (KDM), melakukan inspeksi mendadak (sidak) ke salah satu pabrik air minum dalam kemasan (AMDK) pada 21 Oktober 2025 dan menemukan fakta mengejutkan soal sumber air yang digunakan._x000a__x000a_Dalam video yang diunggah di kanal resminya, KDM mengungkap bahwa air untuk produksi perusahaan besar tersebut ternyata bukan berasal dari mata air pegunungan, melainkan dari air tanah dalam hasil pengeboran artesis sedalam lebih dari 100 meter._x000a__x000a_â€œBanyak masyarakat mengira air kemasan ini murni dari mata air alami. Faktanya, sebagian besar berasal dari sumur bor yang mengambil air tanah purba,â€ ujar Dedi._x000a__x000a_Data menunjukkan, Danone-AQUA menggunakan sekitar 15.737,79 megaliter air tanah sepanjang 2023, atau setara 43 ribu meter kubik per hari. Air tersebut berasal dari akuifer vulkanik tua, lapisan air purba yang terbentuk selama ratusan tahun._x000a__x000a_Meski perusahaan mengklaim telah menanam jutaan pohon dan membangun ribuan sumur resapan sebagai bentuk konservasi, para ahli menilai imbuhan air tanah dalam tidak sebanding dengan volume yang diambil. Akibatnya, di beberapa wilayah terjadi penurunan muka air tanah 1â€“3 meter per tahun, bahkan penurunan permukaan tanah hingga 23 sentimeter di sekitar area industri air minum._x000a__x000a_Masyarakat di sekitar pabrik, terutama di Jawa Barat dan Jawa Timur, juga melaporkan debit sumur menurun dan sawah mengering selama musim kemarau._x000a__x000a_KDM menegaskan bahwa sidak ini bukan untuk mencari kesalahan administratif, melainkan untuk mengembalikan kesadaran bahwa air adalah hak publik, bukan sekadar komoditas industri_x000a__x000a_Bagaimana menurut wargi Cimahi ?_x000a__x000a_#cimahibanget #cimahigaul"/>
    <s v="Cimahi Banget"/>
    <s v="INSTAGRAM"/>
    <n v="1307"/>
    <n v="139"/>
    <n v="1446"/>
    <n v="7.4000000000000003E-3"/>
    <n v="1802770"/>
    <x v="54"/>
    <s v="https://www.instagram.com/p/DQIs5MoCYb1/"/>
    <s v="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wargi cimahi"/>
    <s v="cimahibanget, cimahigaul"/>
    <s v="gubernur, jawa, barat, dedi, mulyadi, kdm, inspeksi, mendadak, sidak, salah, pabrik, air, minum, kemasan, amdk, oktober, menemukan, fakta, mengejutkan, sumber, air, video, diunggah, kanal, resminya, kdm, mengungkap, air, produksi, perusahaan, berasal, mata, air, pegunungan, air, tanah, hasil, pengeboran, artesis, sedalam, meter, masyarakat, air, kemasan, murni, mata, air, alami, faktanya, berasal, sumur, bor, mengambil, air, tanah, purba, dedi, data, danoneaqua, megaliter, air, tanah, setara, ribu, meter, kubik, air, berasal, akuifer, vulkanik, tua, lapisan, air, purba, terbentuk, ratusan, perusahaan, mengklaim, menanam, jutaan, pohon, membangun, ribuan, sumur, resapan, bentuk, konservasi, ahli, menilai, imbuhan, air, tanah, sebanding, volume, diambil, akibatnya, wilayah, penurunan, muka, air, tanah, meter, penurunan, permukaan, tanah, sentimeter, area, industri, air, minum, masyarakat, pabrik, jawa, barat, jawa, timur, melaporkan, debit, sumur, menurun, sawah, mengering, musim, kemarau, kdm, sidak, mencari, kesalahan, administratif, mengembalikan, kesadaran, air, hak, publik, komoditas, industri, wargi, cimahi"/>
    <x v="0"/>
    <n v="0.67698669433593694"/>
  </r>
  <r>
    <x v="1"/>
    <s v="Gubernur Jawa Barat, Dedi Mulyadi, melakukan inspeksi mendadak (sidak) ke pabrik air minum dalam kemasan (AMDK) Aqua yang berlokasi di Kabupaten Subang, Rabu (22/10/2025). _x000a__x000a_Dalam kunjungan tersebut, ia menyoroti praktik pengambilan air tanah oleh industri yang dinilai berpotensi menimbulkan bencana lingkungan seperti banjir dan longsor di wilayah sekitarnya._x000a_Dedi, yang akrab disapa Kang Dedi Mulyadi (KDM), menyampaikan keprihatinannya atas kondisi lingkungan di sekitar area industri. _x000a__x000a_Ia menilai adanya indikasi penurunan kualitas lingkungan akibat aktivitas pengambilan air dalam jumlah besar. â€œSaya ingin tahu, berapa meter kubik air yang diambil setiap hari,â€ tanyanya kepada perwakilan perusahaan saat sidak berlangsung._x000a__x000a_Seorang perwakilan perusahaan menjawab bahwa pabrik mengambil sekitar 2,8 juta liter air setiap hari. Mendengar jawaban tersebut, KDM menyoroti kebijakan perusahaan yang memperoleh sumber daya alam secara cuma-cuma. _x000a__x000a_â€œKalau pabrik semen atau otomotif harus beli bahan baku. Tapi di sini, bahan bakunya gratis, padahal diambil dari bumi yang seharusnya milik rakyat,â€ ujarnya dalam tayangan kanal YouTube pribadinya._x000a__x000a_Dedi menegaskan pentingnya pengelolaan sumber daya alam yang bertanggung jawab sesuai amanat konstitusi. _x000a__x000a_Ia mengingatkan bahwa air dan kekayaan alam lainnya harus digunakan sebesar-besarnya untuk kemakmuran rakyat, bukan semata-mata keuntungan perusahaan. _x000a__x000a_â€œJangan sampai air diangkut keluar daerah dan dijual mahal, sementara warga sekitar kesulitan air bersih,â€ tegasnya._x000a__x000a_KDM juga dibuat terkejut setelah mengetahui bahwa sumber air yang digunakan berasal dari dua sumur bor dalam, bukan mata air pegunungan sebagaimana diasumsikan banyak pihak. â€œKalau ambil dari bawah tanah di kawasan pegunungan, itu bisa menggeser tanah dan memicu longsor,â€ ujarnya._x000a__x000a_Atas temuan tersebut, Dedi Mulyadi meminta agar izin operasional perusahaan dan izin pengambilan air tanahnya segera ditinjau ulang. _x000a__x000a_Ia menegaskan bahwa pemerintah tidak akan tinggal diam terhadap praktik industri yang berpotensi merusak lingkungan dan mengancam keselamatan masyarakat sekitar."/>
    <s v="SUBANG INFO"/>
    <s v="INSTAGRAM"/>
    <n v="2749"/>
    <n v="222"/>
    <n v="2971"/>
    <n v="2.07E-2"/>
    <n v="1801750"/>
    <x v="26"/>
    <s v="https://www.instagram.com/reel/DQHMMI1Ae-2/"/>
    <s v="gubernur jawa barat dedi mulyadi inspeksi mendadak sidak pabrik air minum kemasan amdk aqua berlokasi kabupaten subang rabu kunjungan menyoroti praktik pengambilan air tanah industri dinilai berpotensi menimbulkan bencana lingkungan banjir longsor wilayah dedi akrab disapa kang dedi mulyadi kdm keprihatinannya kondisi lingkungan area industri menilai indikasi penurunan kualitas lingkungan akibat aktivitas pengambilan air meter kubik air diambil perwakilan perusahaan sidak perwakilan perusahaan pabrik mengambil juta liter air mendengar kdm menyoroti kebijakan perusahaan memperoleh sumber daya alam cumacuma pabrik semen otomotif beli bahan baku bahan bakunya gratis diambil bumi milik rakyat tayangan kanal youtube pribadinya dedi pengelolaan sumber daya alam bertanggung sesuai amanat konstitusi air kekayaan alam sebesarbesarnya kemakmuran rakyat sematamata keuntungan perusahaan air diangkut daerah dijual mahal warga kesulitan air bersih kdm terkejut sumber air berasal sumur bor mata air pegunungan diasumsikan ambil tanah kawasan pegunungan menggeser tanah memicu longsor temuan dedi mulyadi izin operasional perusahaan izin pengambilan air tanahnya ditinjau ulang pemerintah tinggal diam praktik industri berpotensi merusak lingkungan mengancam keselamatan masyarakat"/>
    <m/>
    <s v="gubernur, jawa, barat, dedi, mulyadi, inspeksi, mendadak, sidak, pabrik, air, minum, kemasan, amdk, aqua, berlokasi, kabupaten, subang, rabu, kunjungan, menyoroti, praktik, pengambilan, air, tanah, industri, dinilai, berpotensi, menimbulkan, bencana, lingkungan, banjir, longsor, wilayah, dedi, akrab, disapa, kang, dedi, mulyadi, kdm, keprihatinannya, kondisi, lingkungan, area, industri, menilai, indikasi, penurunan, kualitas, lingkungan, akibat, aktivitas, pengambilan, air, meter, kubik, air, diambil, perwakilan, perusahaan, sidak, perwakilan, perusahaan, pabrik, mengambil, juta, liter, air, mendengar, kdm, menyoroti, kebijakan, perusahaan, memperoleh, sumber, daya, alam, cumacuma, pabrik, semen, otomotif, beli, bahan, baku, bahan, bakunya, gratis, diambil, bumi, milik, rakyat, tayangan, kanal, youtube, pribadinya, dedi, pengelolaan, sumber, daya, alam, bertanggung, sesuai, amanat, konstitusi, air, kekayaan, alam, sebesarbesarnya, kemakmuran, rakyat, sematamata, keuntungan, perusahaan, air, diangkut, daerah, dijual, mahal, warga, kesulitan, air, bersih, kdm, terkejut, sumber, air, berasal, sumur, bor, mata, air, pegunungan, diasumsikan, ambil, tanah, kawasan, pegunungan, menggeser, tanah, memicu, longsor, temuan, dedi, mulyadi, izin, operasional, perusahaan, izin, pengambilan, air, tanahnya, ditinjau, ulang, pemerintah, tinggal, diam, praktik, industri, berpotensi, merusak, lingkungan, mengancam, keselamatan, masyarakat"/>
    <x v="2"/>
    <n v="0.80215245485305697"/>
  </r>
  <r>
    <x v="14"/>
    <s v="Suasana Sumber Mata Air Aqua Sekarang ??_x000a__x000a_Diketahui longsor menimpa kawasan Cipondok, desa Pasanggrahan, Kecamatan Kasomalang. Minggu sore ini (7/1/2024)._x000a____________x000a_?? t/seputhe_x000a_#exploresubang"/>
    <s v="EXPLORE SUBANG | West Java ??????"/>
    <s v="INSTAGRAM"/>
    <n v="3608"/>
    <n v="46"/>
    <n v="3654"/>
    <n v="1.35E-2"/>
    <n v="1798830"/>
    <x v="22"/>
    <s v="https://www.instagram.com/reel/DPyLOuJEkNF/"/>
    <s v="suasana sumber mata air aqua longsor menimpa kawasan cipondok desa pasanggrahan kecamatan kasomalang minggu sore tseputhe"/>
    <s v="exploresubang"/>
    <s v="suasana, sumber, mata, air, aqua, longsor, menimpa, kawasan, cipondok, desa, pasanggrahan, kecamatan, kasomalang, minggu, sore, tseputhe"/>
    <x v="0"/>
    <n v="0.97909522056579501"/>
  </r>
  <r>
    <x v="7"/>
    <s v="Seluruh pabrik AQUA berlokasi di kaki pegunungan tempat sumber air AQUA berasal._x000a__x000a_Sumber air AQUA yang berasal dari lapisan akuifer tertekan terhubung langsung ke pegunungan. _x000a__x000a_Di area tersebut pula, AQUA secara aktif melakukan upaya konservasi untuk mengembalikan air lebih banyak. Hingga saat ini AQUA telah menanam lebih dari 2,6 juta pohon, 93ribu biopori, 20ribu rorak, dan banyak inisiatif lainnya._x000a__x000a_Yuk sebarkan informasi ini untuk menghindari misinformasi lebih lanjut ????"/>
    <s v="Sehat AQUA"/>
    <s v="INSTAGRAM"/>
    <n v="1164"/>
    <n v="0"/>
    <n v="1164"/>
    <n v="4.4999999999999997E-3"/>
    <n v="1798760"/>
    <x v="21"/>
    <s v="https://www.instagram.com/reel/DQTBRnqEhff/"/>
    <s v="pabrik aqua berlokasi kaki pegunungan sumber air aqua berasal sumber air aqua berasal lapisan akuifer tertekan terhubung langsung pegunungan area aqua aktif upaya konservasi mengembalikan air aqua menanam juta pohon ribu biopori ribu rorak inisiatif yuk sebarkan informasi menghindari misinformasi"/>
    <m/>
    <s v="pabrik, aqua, berlokasi, kaki, pegunungan, sumber, air, aqua, berasal, sumber, air, aqua, berasal, lapisan, akuifer, tertekan, terhubung, langsung, pegunungan, area, aqua, aktif, upaya, konservasi, mengembalikan, air, aqua, menanam, juta, pohon, ribu, biopori, ribu, rorak, inisiatif, yuk, sebarkan, informasi, menghindari, misinformasi"/>
    <x v="0"/>
    <n v="0.89728385210037198"/>
  </r>
  <r>
    <x v="10"/>
    <s v="Tidak semua air di bumi punya kisah pembentukan yang sama. Ada yang terbentuk cepat, seperti air permukaan dan air tanah dangkal. Ada juga yang butuh ratusan hingga ribuan tahun untuk kembali terisi, yaitu: air tanah dalam._x000a__x000a_Dalam ilmu lingkungan, air tanah dalam adalah gudang cadangan utama yang menjaga mata air tetap mengalir, menahan tanah agar tidak turun, dan memastikan ekosistem di sekitarnya tetap hidup._x000a__x000a_Jika dieksploitasi tanpa kontrol,_x000a_air ini lebih cepat habis daripada pulih._x000a_Risikonya: tanah ambles, mata air mengering, dan jika di daerah pesisir dapat menyebabkan intrusi air laut._x000a__x000a_Mengambil air tanah dalam ibarat_x000a_membuat shortcut ke tabungan terakhir bumi. Cepat dan menguntungkan hari ini, tapi menguras masa depan tanpa kita sadari._x000a__x000a_//save dulu_x000a__x000a_#airtanahdalam #aqua"/>
    <s v="MapEnthusiast Indonesia ????"/>
    <s v="INSTAGRAM"/>
    <n v="2943"/>
    <n v="486"/>
    <n v="3429"/>
    <n v="4.8800000000000003E-2"/>
    <n v="1798660"/>
    <x v="55"/>
    <s v="https://www.instagram.com/reel/DQOvaynEZMW/"/>
    <s v="air bumi kisah pembentukan terbentuk cepat air permukaan air tanah dangkal butuh ratusan ribuan terisi air tanah ilmu lingkungan air tanah gudang cadangan utama menjaga mata air mengalir menahan tanah turun ekosistem hidup dieksploitasi kontrol air cepat habis pulih risikonya tanah ambles mata air mengering daerah pesisir menyebabkan intrusi air laut mengambil air tanah shortcut tabungan bumi cepat menguntungkan menguras sadari save"/>
    <s v="airtanahdalam, aqua"/>
    <s v="air, bumi, kisah, pembentukan, terbentuk, cepat, air, permukaan, air, tanah, dangkal, butuh, ratusan, ribuan, terisi, air, tanah, ilmu, lingkungan, air, tanah, gudang, cadangan, utama, menjaga, mata, air, mengalir, menahan, tanah, turun, ekosistem, hidup, dieksploitasi, kontrol, air, cepat, habis, pulih, risikonya, tanah, ambles, mata, air, mengering, daerah, pesisir, menyebabkan, intrusi, air, laut, mengambil, air, tanah, shortcut, tabungan, bumi, cepat, menguntungkan, menguras, sadari, save"/>
    <x v="1"/>
    <n v="0.97764378786087003"/>
  </r>
  <r>
    <x v="5"/>
    <s v="Potongan video Dedi Mulyadi Gubernur Jawa Barat menyidak lokasi pengolahan air mineral AQUA viral di sosial media._x000a__x000a_Dalam video yang berdurasi 26 menit 51 detik itu menayangkan dari mana sumber air AQUA digunakan. Pihak staf mengatakan sumber air yang digunakan dari bawah tanah dan melalui proses pengeboran._x000a__x000a_Sontak Dedi terkejut. Dia mengira selama ini sumber air yang digunakan perusahaan berasal dari air permukaan atau mata air. Begitupun anggapan warganet._x000a__x000a_Dikutip dari laman Aqua, Donone meluruskan informasi yang beredar di sosial media. Pihaknya menyebut AQUA tidak menggunakan air dari sumur bor biasa. AQUA menggunakan air dari akuifer dalam yang merupakan bagian dari sistem hidrogeologi pegunungan._x000a__x000a_Air ini terlindungi secara alami dan telah melalui proses seleksi serta kajian ilmiah oleh para ahli dari UGM dan Unpad. Sebagian titik sumber juga bersifat self-flowing (mengalir alami)._x000a__x000a_#SuaraSurabaya #SuaraSurabayaMedia #SSemenit #Aqua #Danone #KDM"/>
    <s v="SUARA SURABAYA"/>
    <s v="INSTAGRAM"/>
    <n v="3324"/>
    <n v="313"/>
    <n v="3637"/>
    <n v="4.1000000000000003E-3"/>
    <n v="1797040"/>
    <x v="56"/>
    <s v="https://www.instagram.com/reel/DQMWH20AYWN/"/>
    <s v="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
    <s v="suarasurabaya, suarasurabayamedia, ssemenit, aqua, danone, kdm"/>
    <s v="potongan, video, dedi, mulyadi, gubernur, jawa, barat, menyidak, lokasi, pengolahan, air, mineral, aqua, viral, sosial, media, video, berdurasi, menit, detik, menayangkan, sumber, air, aqua, staf, sumber, air, tanah, proses, pengeboran, sontak, dedi, terkejut, sumber, air, perusahaan, berasal, air, permukaan, mata, air, anggapan, warganet, dikutip, laman, aqua, donone, meluruskan, informasi, beredar, sosial, media, menyebut, aqua, air, sumur, bor, aqua, air, akuifer, sistem, hidrogeologi, pegunungan, air, terlindungi, alami, proses, seleksi, kajian, ilmiah, ahli, ugm, unpad, titik, sumber, bersifat, selfflowing, mengalir, alami"/>
    <x v="0"/>
    <n v="0.58166199922561601"/>
  </r>
  <r>
    <x v="4"/>
    <s v="â­•ï¸WASPADA TIPU DAYA BRAND TERAFILIASIâ­•ï¸_x000a__x000a_Bijak sebelum membeli, kalau kalian belum tergerak boikot karena aspek afiliasi, masih banyak aspek lain yang membuat brand terafiliasi harus di boikot, terlebih mereka memiliki ciri khas yang sama yaitu:_x000a__x000a_1. Tipu daya fungsi produk melalui iklan_x000a_2. Tidak sehat_x000a_3. Overprice_x000a_4. Pendukung LaGiBeTe_x000a_5. Antek asing_x000a__x000a_Sudah saatnya kembali kepada brand lokal, brand tetangga, brand kerabat yang terbukti bisa memajukan ekonomi umat &amp; bangsa, dan mempercepat runtuhnya brand terafiliasi._x000a__x000a_Punya kisah skandal brand terafiliasi lainnya? Sharing di kolom komentar ya.._x000a__x000a_#Buycut #Boycott #Skandal #Scandal #Aqua"/>
    <s v="Habib AMA"/>
    <s v="INSTAGRAM"/>
    <n v="2789"/>
    <n v="42"/>
    <n v="2831"/>
    <n v="2.64E-2"/>
    <n v="1795670"/>
    <x v="42"/>
    <s v="https://www.instagram.com/reel/DQQQhcpEif8/"/>
    <s v="waspada tipu daya brand terafiliasi bijak membeli tergerak boikot aspek afiliasi aspek brand terafiliasi boikot memiliki ciri khas tipu daya fungsi produk iklan sehat overprice pendukung lagibete antek asing brand lokal brand tetangga brand kerabat terbukti memajukan ekonomi umat bangsa mempercepat runtuhnya brand terafiliasi kisah skandal brand terafiliasi sharing kolom komentar ya"/>
    <s v="buycut, boycott, skandal, scandal, aqua"/>
    <s v="waspada, tipu, daya, brand, terafiliasi, bijak, membeli, tergerak, boikot, aspek, afiliasi, aspek, brand, terafiliasi, boikot, memiliki, ciri, khas, tipu, daya, fungsi, produk, iklan, sehat, overprice, pendukung, lagibete, antek, asing, brand, lokal, brand, tetangga, brand, kerabat, terbukti, memajukan, ekonomi, umat, bangsa, mempercepat, runtuhnya, brand, terafiliasi, kisah, skandal, brand, terafiliasi, sharing, kolom, komentar, ya"/>
    <x v="2"/>
    <n v="0.83423328399658203"/>
  </r>
  <r>
    <x v="2"/>
    <s v="Inspeksi mendadak yang dilakukan oleh Gubernur Jawa Barat, Dedi Mulyadi ke pabrik Aqua di kawasan Subang, Jawa Barat, mengungkap sebuah fakta yang mengejutkan dari produk air mineral tersebut. _x000a__x000a_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_x000a__x000a_Rupanya, air diambil menggunakan teknologi sumur bor dengan kedalaman mencapai 100 hingga 130 meter. Mendengar fakta itu, gubernur yang akrab disapa Kang Dedi Mulyadi ini sempat terdiam sejenak._x000a__x000a_Source: YT/kangdedimulyadichannel"/>
    <s v="TEROPONG MAKASSAR"/>
    <s v="INSTAGRAM"/>
    <n v="1360"/>
    <n v="107"/>
    <n v="1467"/>
    <n v="1.0200000000000001E-2"/>
    <n v="1795160"/>
    <x v="57"/>
    <s v="https://www.instagram.com/reel/DQIgVehEjiD/"/>
    <s v="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m/>
    <s v="inspeksi, mendadak, gubernur, jawa, barat, dedi, mulyadi, pabrik, aqua, kawasan, subang, jawa, barat, mengungkap, fakta, mengejutkan, produk, air, mineral, berhenti, situ, dedi, mulyadi, lokasi, pengambilan, sumber, air, pabrik, aqua, berjalan, area, pabrik, menyoroti, kondisi, lingkungan, dinilainya, rawan, longsor, mengaitkannya, aktivitas, industri, air, diambil, teknologi, sumur, bor, kedalaman, mencapai, meter, mendengar, fakta, gubernur, akrab, disapa, kang, dedi, mulyadi, terdiam, source, ytkangdedimulyadichannel"/>
    <x v="0"/>
    <n v="0.94570505619048995"/>
  </r>
  <r>
    <x v="1"/>
    <s v="Gimana nih tanggapannya warga? _x000a__x000a_Dalam sebuah sidak ke lapangan, Dedi Mulyadi mendadak emosi setelah mendengar pengakuan sopir truk pengangkut Aqua yang mengaku digaji di bawah UMR. Sang sopir menceritakan bahwa ia harus bekerja dari pagi hingga malam dengan beban kerja berat, namun penghasilannya tak sebanding. Dedi pun menyoroti ketimpangan ini, apalagi perusahaan yang mereka layani diketahui meraih keuntungan hingga triliunan rupiah setiap tahun. Momen tersebut menuai perhatian publik dan memicu perbincangan soal kesejahteraan para pekerja di lapangan."/>
    <s v="FEED WARGA"/>
    <s v="INSTAGRAM"/>
    <n v="2621"/>
    <n v="52"/>
    <n v="2673"/>
    <n v="1.49E-2"/>
    <n v="1795120"/>
    <x v="58"/>
    <s v="https://www.instagram.com/reel/DQG8LYhkg_Q/"/>
    <s v="gimana nih tanggapannya warga sidak lapangan dedi mulyadi mendadak emosi mendengar pengakuan sopir truk pengangkut aqua mengaku digaji umr sang sopir menceritakan pagi malam beban kerja berat penghasilannya sebanding dedi menyoroti ketimpangan perusahaan layani meraih keuntungan triliunan rupiah momen menuai perhatian publik memicu perbincangan kesejahteraan pekerja lapangan"/>
    <m/>
    <s v="gimana, nih, tanggapannya, warga, sidak, lapangan, dedi, mulyadi, mendadak, emosi, mendengar, pengakuan, sopir, truk, pengangkut, aqua, mengaku, digaji, umr, sang, sopir, menceritakan, pagi, malam, beban, kerja, berat, penghasilannya, sebanding, dedi, menyoroti, ketimpangan, perusahaan, layani, meraih, keuntungan, triliunan, rupiah, momen, menuai, perhatian, publik, memicu, perbincangan, kesejahteraan, pekerja, lapangan"/>
    <x v="2"/>
    <n v="0.76922953128814697"/>
  </r>
  <r>
    <x v="12"/>
    <s v="Kecelakaan maut terjadi Jalan Raya Bandung - Subang tepatnya daerah Desa Gunungtua, Kecamatan Cijambe, Kabupaten Subang, Jawa Barat,Â Kamis (09/10/2025)._x000a__x000a_Kecelakaan ini melibatkan truk pengangkut AQUA dengan sejumlah kendaraan, baik roda dua maupun roda empat. Truk tersebut menabrak kendaraan yang ada di depannya._x000a__x000a_Kecelakaan menimbulkan korban jiwa dan luka-luka langsung viral di media sosial (medsos) yang diunggah warganet yang berada di sekitar lokasi kejadian._x000a__x000a_Detik-detik kecelakaan pun terekam pada CCTV (Closed-Circuit Television) yang berada di sekitar lokasi. Masyarakat pun berjibaku melakukan evakuasi korban ke rumah sakit._x000a__x000a_Dari informasi didapat hingga pukul 15.00Â wib, korban wafat pada kecelakaan tersebut sebanyak tiga orang dan tujuh orang alami luka-luka. Mereka berada di RSUD Subang._x000a__x000a_Korban wafat yakni N (60 tahun) dan M (60), warga Cijuhung, Desa Rawalele, Kecamatan Dawuan, dan I (70), warga Wera, Kelurahan Dangdeur, Kecamatan/Kabupaten Subang._x000a__x000a_Korban luka-luka yakni PK (6), E (54) dan N (41), warga Cijuhung; O (54), warga Wangunreja; ER (55) warga Wera; serta AK (22) dan I (55), warga Pamanukan, Kabupaten Subang._x000a__x000a_Kejadian tersebut saat ini ditangani Unit Gakkum Satlantas Polres Subang untuk proses penyelidikan atas penyebab kecelakaan maut tersebut._x000a__________x000a_#exploresubang"/>
    <s v="EXPLORE SUBANG | West Java ??????"/>
    <s v="INSTAGRAM"/>
    <n v="4531"/>
    <n v="338"/>
    <n v="4869"/>
    <n v="1.8100000000000002E-2"/>
    <n v="1793710"/>
    <x v="22"/>
    <s v="https://www.instagram.com/reel/DPlc3fTklKq/"/>
    <s v="kecelakaan maut jalan raya bandung subang tepatnya daerah desa gunungtua kecamatan cijambe kabupaten subang jawa barat kamis kecelakaan melibatkan truk pengangkut aqua kendaraan roda roda truk menabrak kendaraan depannya kecelakaan menimbulkan korban jiwa lukaluka langsung viral media sosial medsos diunggah warganet lokasi kejadian detikdetik kecelakaan terekam cctv closedcircuit television lokasi masyarakat berjibaku evakuasi korban rumah sakit informasi wib korban wafat kecelakaan orang tujuh orang alami lukaluka rsud subang korban wafat n m warga cijuhung desa rawalele kecamatan dawuan i warga wera kelurahan dangdeur kecamatankabupaten subang korban lukaluka pk e n warga cijuhung o warga wangunreja er warga wera ak i warga pamanukan kabupaten subang kejadian ditangani unit gakkum satlantas polres subang proses penyelidikan penyebab kecelakaan maut"/>
    <s v="exploresubang"/>
    <s v="kecelakaan, maut, jalan, raya, bandung, subang, tepatnya, daerah, desa, gunungtua, kecamatan, cijambe, kabupaten, subang, jawa, barat, kamis, kecelakaan, melibatkan, truk, pengangkut, aqua, kendaraan, roda, roda, truk, menabrak, kendaraan, depannya, kecelakaan, menimbulkan, korban, jiwa, lukaluka, langsung, viral, media, sosial, medsos, diunggah, warganet, lokasi, kejadian, detikdetik, kecelakaan, terekam, cctv, closedcircuit, television, lokasi, masyarakat, berjibaku, evakuasi, korban, rumah, sakit, informasi, wib, korban, wafat, kecelakaan, orang, tujuh, orang, alami, lukaluka, rsud, subang, korban, wafat, n, m, warga, cijuhung, desa, rawalele, kecamatan, dawuan, i, warga, wera, kelurahan, dangdeur, kecamatankabupaten, subang, korban, lukaluka, pk, e, n, warga, cijuhung, o, warga, wangunreja, er, warga, wera, ak, i, warga, pamanukan, kabupaten, subang, kejadian, ditangani, unit, gakkum, satlantas, polres, subang, proses, penyelidikan, penyebab, kecelakaan, maut"/>
    <x v="0"/>
    <n v="0.98384326696395796"/>
  </r>
  <r>
    <x v="2"/>
    <s v="Duh Aqua! Tenaga Sopir Sepuh Hanya Seharga Setengah Tangki Solar, Angkut 3x Beban Standar_x000a__x000a_Bayangkan, seorang kakek sopir truk diupah cuma Rp125.000 untuk ngangkut 13 ton galon air mineral, padahal batas normalnya cuma 5 ton._x000a__x000a_Tenaganya diperas tiga kali lipat, tapi upahnya bahkan tak cukup buat isi setengah tangki solar truk yang ia kendarai. Ironi paling murni di tengah galon-galon air yang katanya menyegarkan._x000a__x000a_Kecelakaan maut di Subang yang libatkan 6 kendaraan dan tewaskan 3 orang ternyata dipicu truk tronton bermuatan air mineral Aqua yang rem blong._x000a__x000a_Dalam sidak ke pabrik Aqua, Gubernur Jabar Dedi Mulyadi (KDM) nemuin fakta miris: truk yang dipakai ternyata keluaran 2010 dan tiap hari ngangkut beban 14 ton air mineral._x000a__x000a_â€œPantesan mobilnya udah 15 tahun. Mobil tua, tiap hari nanjak, bawa beban berat. Lolos rem, ya pasti,â€ kata KDM._x000a__x000a_Yang bikin miris, sopir-sopir tua masih disuruh angkut 13 ton galon cuma dibayar Rp125 ribu/hari._x000a_KDM pun menegur keras pihak perusahaan:_x000a__x000a_â€œMalu dong, perusahaan besar kerja sama dengan angkutan murah tapi berisiko tinggi.â€_x000a__x000a_?? KDM juga minta semua transporter Aqua diganti agar sesuai standar keselamatan â€” biar nggak ada lagi nyawa melayang karena kelalaian."/>
    <s v="RumahPengusaha.News"/>
    <s v="INSTAGRAM"/>
    <n v="3749"/>
    <n v="325"/>
    <n v="4074"/>
    <n v="7.7000000000000002E-3"/>
    <n v="1793390"/>
    <x v="30"/>
    <s v="https://www.instagram.com/reel/DQJYoU8jgv_/"/>
    <s v="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m/>
    <s v="duh, aqua, tenaga, sopir, sepuh, seharga, tangki, solar, angkut, x, beban, standar, bayangkan, kakek, sopir, truk, diupah, rp, ngangkut, ton, galon, air, mineral, batas, normalnya, ton, tenaganya, diperas, kali, lipat, upahnya, isi, tangki, solar, truk, kendarai, ironi, murni, galongalon, air, menyegarkan, kecelakaan, maut, subang, libatkan, kendaraan, tewaskan, orang, dipicu, truk, tronton, bermuatan, air, mineral, aqua, rem, blong, sidak, pabrik, aqua, gubernur, jabar, dedi, mulyadi, kdm, nemuin, fakta, miris, truk, dipakai, keluaran, ngangkut, beban, ton, air, mineral, pantesan, mobilnya, udah, mobil, tua, nanjak, bawa, beban, berat, lolos, rem, ya, kdm, bikin, miris, sopirsopir, tua, disuruh, angkut, ton, galon, dibayar, rp, ribuhari, kdm, menegur, keras, perusahaan, malu, perusahaan, kerja, angkutan, murah, berisiko, kdm, transporter, aqua, diganti, sesuai, standar, keselamatan, biar, nggak, nyawa, melayang, kelalaian"/>
    <x v="2"/>
    <n v="0.98921424150466897"/>
  </r>
  <r>
    <x v="2"/>
    <s v="Bukan dari Mata Air Pegunungan, Pabrik Aqua di Subang Kedapatan Ambil Air dari Sumur Bor_x000a__x000a_Pabrik air mineral Aqua di Kabupaten Subang, Jawa Barat saat ini tengah menjadi bahan pembicaraan masyarakat lantaran sumber air yang selama ini dijual ke masyarakat bukan dari mata air pegunungan._x000a__x000a_Hal ini terungkap setelah Gubernur Jabar, Dedi Mulyadi melakukan inspeksi mendadak (sidak) ke PT. Tirta Investama Subang tersebut, Senin (20/10/2025) ternyata air yang didapat bersumber dari pipa bertekanan tinggi atau sumur bor sedalam 100-130 meter._x000a__x000a_&quot;Air ini bukan dari pegunungan seperti yang selama ini kita yakini, melainkan dari sumur bor,&quot; ujar DediAkibatnya, muncul kekhawatiran potensi dampak lingkungan dari pengambilan air tanah secara besar-besaran. Karena bisa berujung pada risiko penurunan muka tanah, longsor, hingga krisis air.Terlebih lagi ketika pihak perusahaan menjelaskan air yang diambil mencapai sekitar 2,8 juta liter per hari.&quot;Itu diperoleh secara gratis. Kalau pabrik semen, kain, otomotif, mereka harus beli bahan baku. Kalau perusahaan ini, bahan bakunya enggak beli,&quot; ucap Dedi._x000a__x000a_Mantan Bupati Purwakarta itu menyayangkan apa yang telah dilakukan pabrik air mineral tersebut karena efeknya sangat mengkhawatirkan masyarakat._x000a__x000a_&quot;Jangan sampai air dari sini diangkut dan dijual mahal, sementara masyarakat sekitar kekurangan air bersih,&quot; lanjutnya._x000a__x000a_Dirinya meminta pihak terkait agar izin pengambilan air tanah serta operasional perusahaan Aqua di wilayah tersebut ditinjau ulang. Ia menjelaskan setiap perusahaan wajib memperhatikan izin terkait pengambilan air, pelestarian lingkungan, dan tanggung jaab sosial kepada warga sekitar._x000a__x000a_Sebelumnya, warga sekitar mengaku kerap kesulitan air terutama saat kemarau. Warga menduga perusahaan air mineral di wilayah tersebut menjadi sumber permasalahan selama ini.Â _x000a__x000a_Artikel: Inilah.com"/>
    <s v="MAKASSAR ZONE"/>
    <s v="INSTAGRAM"/>
    <n v="1018"/>
    <n v="81"/>
    <n v="1099"/>
    <n v="2.8E-3"/>
    <n v="1792930"/>
    <x v="59"/>
    <s v="https://www.instagram.com/p/DQJB4zzkjmp/"/>
    <s v="mata air pegunungan pabrik aqua subang kedapatan ambil air sumur bor pabrik air mineral aqua kabupaten subang jawa barat bahan pembicaraan masyarakat lantaran sumber air dijual masyarakat mata air pegunungan terungkap gubernur jabar dedi mulyadi inspeksi mendadak sidak pt tirta investama subang senin air bersumber pipa bertekanan sumur bor sedalam meter air pegunungan yakini sumur bor dediakibatnya muncul kekhawatiran potensi dampak lingkungan pengambilan air tanah besarbesaran berujung risiko penurunan muka tanah longsor krisis airterlebih perusahaan air diambil mencapai juta liter hariitu diperoleh gratis pabrik semen kain otomotif beli bahan baku perusahaan bahan bakunya beli dedi mantan bupati purwakarta menyayangkan pabrik air mineral efeknya mengkhawatirkan masyarakat air diangkut dijual mahal masyarakat kekurangan air bersih terkait izin pengambilan air tanah operasional perusahaan aqua wilayah ditinjau ulang perusahaan wajib memperhatikan izin terkait pengambilan air pelestarian lingkungan tanggung jaab sosial warga warga mengaku kerap kesulitan air kemarau warga menduga perusahaan air mineral wilayah sumber permasalahan artikel inilahcom"/>
    <m/>
    <s v="mata, air, pegunungan, pabrik, aqua, subang, kedapatan, ambil, air, sumur, bor, pabrik, air, mineral, aqua, kabupaten, subang, jawa, barat, bahan, pembicaraan, masyarakat, lantaran, sumber, air, dijual, masyarakat, mata, air, pegunungan, terungkap, gubernur, jabar, dedi, mulyadi, inspeksi, mendadak, sidak, pt, tirta, investama, subang, senin, air, bersumber, pipa, bertekanan, sumur, bor, sedalam, meter, air, pegunungan, yakini, sumur, bor, dediakibatnya, muncul, kekhawatiran, potensi, dampak, lingkungan, pengambilan, air, tanah, besarbesaran, berujung, risiko, penurunan, muka, tanah, longsor, krisis, airterlebih, perusahaan, air, diambil, mencapai, juta, liter, hariitu, diperoleh, gratis, pabrik, semen, kain, otomotif, beli, bahan, baku, perusahaan, bahan, bakunya, beli, dedi, mantan, bupati, purwakarta, menyayangkan, pabrik, air, mineral, efeknya, mengkhawatirkan, masyarakat, air, diangkut, dijual, mahal, masyarakat, kekurangan, air, bersih, terkait, izin, pengambilan, air, tanah, operasional, perusahaan, aqua, wilayah, ditinjau, ulang, perusahaan, wajib, memperhatikan, izin, terkait, pengambilan, air, pelestarian, lingkungan, tanggung, jaab, sosial, warga, warga, mengaku, kerap, kesulitan, air, kemarau, warga, menduga, perusahaan, air, mineral, wilayah, sumber, permasalahan, artikel, inilahcom"/>
    <x v="0"/>
    <n v="0.873174488544464"/>
  </r>
  <r>
    <x v="2"/>
    <s v="Inspeksi mendadak oleh Gubernur Jawa Barat, Dedi Mulyadi, di pabrik Aqua kawasan Subang, mengungkap fakta penting terkait sumber air mineral yang dipasarkan perusahaan. _x000a__x000a_Dalam video di YouTube KANG DEDI MULYADI CHANNEL, Dedi meminta bertemu pimpinan perusahaan dan meninjau lokasi sumber air. Ia terkejut saat mengetahui bahwa air yang digunakan berasal dari sumur bor dalam, dengan kedalaman mencapai 100â€“130 meter, bukan dari mata air alami seperti yang selama ini dipersepsikan publik._x000a__x000a_Kepada wartawan, Dedi menyebutkan, â€œSaya kira air dari mata air, ternyata dari sumur bor. Pengambilan air dari lapisan tanah dalam dapat berpengaruh serius terhadap lingkungan.â€ Ia juga menyoroti potensi kerusakan lingkungan, termasuk peningkatan kejadian banjir di wilayah yang sebelumnya tidak rawan._x000a__x000a_Pihak perusahaan menjelaskan bahwa pengambilan dari sumber dalam dilakukan untuk menjaga kualitas air. Namun, Dedi mengingatkan, eksploitasi besar-besaran ini berisiko memicu bencana ekologis dan mengubah tata air di wilayah tersebut._x000a__x000a_Sementara itu, warganet dan masyarakat menuntut klarifikasi dari Aqua terkait sumber air yang tidak sesuai dengan iklannya yang mengklaim sumbernya dari air pegunungan alami. Mereka meminta perusahaan untuk transparan dan jujur mengenai sumber air yang digunakan._x000a__x000a_Menanggapi isu ini, manajemen Danone Indonesia menyatakan bahwa sumber air Aqua berasal dari sumber pegunungan yang terlindungi, dengan kedalaman 60â€“140 meter, dan melalui kajian dampak lingkungan serta masyarakat sebelum pengambilan._x000a__x000a_Inspeksi ini membuka mata publik akan proses produksi air mineral dan pentingnya transparansi perusahaan terhadap sumber bahan baku yang digunakan, serta dampaknya terhadap keberlanjutan lingkungan._x000a__x000a_Sumber : suaracom, cnn indonesia"/>
    <s v="PENDAKI GUNUNG INDONESIA"/>
    <s v="INSTAGRAM"/>
    <n v="30483"/>
    <n v="750"/>
    <n v="31233"/>
    <n v="1.3899999999999999E-2"/>
    <n v="1792790"/>
    <x v="60"/>
    <s v="https://www.instagram.com/p/DQIe0fLk4nG/"/>
    <s v="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
    <m/>
    <s v="inspeksi, mendadak, gubernur, jawa, barat, dedi, mulyadi, pabrik, aqua, kawasan, subang, mengungkap, fakta, terkait, sumber, air, mineral, dipasarkan, perusahaan, video, youtube, kang, dedi, mulyadi, channel, dedi, bertemu, pimpinan, perusahaan, meninjau, lokasi, sumber, air, terkejut, air, berasal, sumur, bor, kedalaman, mencapai, meter, mata, air, alami, dipersepsikan, publik, wartawan, dedi, air, mata, air, sumur, bor, pengambilan, air, lapisan, tanah, berpengaruh, serius, lingkungan, menyoroti, potensi, kerusakan, lingkungan, peningkatan, kejadian, banjir, wilayah, rawan, perusahaan, pengambilan, sumber, menjaga, kualitas, air, dedi, eksploitasi, besarbesaran, berisiko, memicu, bencana, ekologis, mengubah, tata, air, wilayah, warganet, masyarakat, menuntut, klarifikasi, aqua, terkait, sumber, air, sesuai, iklannya, mengklaim, sumbernya, air, pegunungan, alami, perusahaan, transparan, jujur, sumber, air, menanggapi, isu, manajemen, danone, indonesia, sumber, air, aqua, berasal, sumber, pegunungan, terlindungi, kedalaman, meter, kajian, dampak, lingkungan, masyarakat, pengambilan, inspeksi, membuka, mata, publik, proses, produksi, air, mineral, transparansi, perusahaan, sumber, bahan, baku, dampaknya, keberlanjutan, lingkungan, sumber, suaracom, cnn, indonesia"/>
    <x v="0"/>
    <n v="0.83750879764556796"/>
  </r>
  <r>
    <x v="0"/>
    <s v="Seorang pria diduga tenggelam di Kali Angke, kawasan Petir, Kecamatan Cipondoh, Kota Tangerang, pada Senin (20/10/2025) dini hari. Peristiwa itu sontak menghebohkan warga sekitar._x000a__x000a_Korban diketahui bernama Adi (30), warga Gang H. Lancong, Kelurahan Gondrong._x000a__x000a_Ia diduga terjatuh dari flyover ke aliran Kali Angke dekat RS Mandaya Hospital sekitar pukul 03.00 WIB._x000a__x000a_Komandan Tim Kantor SAR Jakarta, Aulia Shlihanto mengatakan, kejadian tersebut pertama kali dilihat oleh seorang tukang kopi._x000a__x000a_&quot;Tukang kopi teriak, lalu warga lain ikut mencari. Saat itu ada 6 orang di lokasi,&quot; katanya._x000a__x000a_Menurut keterangan sementara, korban sempat terlibat konflik keluarga sebelum kejadian. Hal itu kini masih didalami oleh petugas._x000a__x000a_Tim SAR gabungan mulai melakukan pencarian sejak pagi hingga sore hari._x000a__x000a_&quot;Kami bongkar tumpukan sampah di sekitar lokasi karena titik itu dicurigai,â€ katanya._x000a__x000a_Dalam upaya pencarian, petugas menggunakan alat bantu Aqua-Eye untuk mendeteksi keberadaan korban di dalam air. Namun hingga sore hari, hasilnya masih nihil._x000a__x000a_Proses penyisiran juga dilakukan hingga 3 km ke arah Bendungan Polor, Jakarta Barat, namun masih nihil._x000a__x000a_Sebanyak 40 personel SAR gabungan dari Tangerang, Tangsel, Jakarta, dan sekitarnya turut dikerahkan dalam operasi pencarian._x000a__x000a_Menjelang malam, operasi dihentikan sementara karena kondisi tidak memungkinkan._x000a__x000a_Tim beralih melakukan pemantauan visual dari darat untuk mengantisipasi kemungkinan korban terseret arus._x000a__x000a_Kondisi air yang keruh dan banyaknya tumpukan sampah menjadi kendala utama pencarian._x000a__x000a_Selain itu, arus sungai yang deras turut menyulitkan proses penyelaman._x000a__x000a_Pencarian akan kembali dilanjutkan pada Selasa pagi dengan memperluas area penyisiran hingga 7 kilometer dari titik awal kejadian."/>
    <s v="About Tangerang"/>
    <s v="INSTAGRAM"/>
    <n v="3727"/>
    <n v="16"/>
    <n v="3743"/>
    <n v="2.8E-3"/>
    <n v="1792260"/>
    <x v="61"/>
    <s v="https://www.instagram.com/reel/DQCK35Dk8OX/"/>
    <s v="pria diduga tenggelam kali angke kawasan petir kecamatan cipondoh kota tangerang senin peristiwa sontak menghebohkan warga korban bernama adi warga gang h lancong kelurahan gondrong diduga terjatuh flyover aliran kali angke rs mandaya hospital wib komandan tim kantor sar jakarta aulia shlihanto kejadian kali tukang kopi tukang kopi teriak warga mencari orang lokasi keterangan korban terlibat konflik keluarga kejadian didalami petugas tim sar gabungan pencarian pagi sore bongkar tumpukan sampah lokasi titik dicurigai upaya pencarian petugas alat bantu aquaeye mendeteksi keberadaan korban air sore hasilnya nihil proses penyisiran km arah bendungan polor jakarta barat nihil personel sar gabungan tangerang tangsel jakarta dikerahkan operasi pencarian menjelang malam operasi dihentikan kondisi tim beralih pemantauan visual darat mengantisipasi korban terseret arus kondisi air keruh banyaknya tumpukan sampah kendala utama pencarian arus sungai deras menyulitkan proses penyelaman pencarian dilanjutkan selasa pagi memperluas area penyisiran kilometer titik kejadian"/>
    <m/>
    <s v="pria, diduga, tenggelam, kali, angke, kawasan, petir, kecamatan, cipondoh, kota, tangerang, senin, peristiwa, sontak, menghebohkan, warga, korban, bernama, adi, warga, gang, h, lancong, kelurahan, gondrong, diduga, terjatuh, flyover, aliran, kali, angke, rs, mandaya, hospital, wib, komandan, tim, kantor, sar, jakarta, aulia, shlihanto, kejadian, kali, tukang, kopi, tukang, kopi, teriak, warga, mencari, orang, lokasi, keterangan, korban, terlibat, konflik, keluarga, kejadian, didalami, petugas, tim, sar, gabungan, pencarian, pagi, sore, bongkar, tumpukan, sampah, lokasi, titik, dicurigai, upaya, pencarian, petugas, alat, bantu, aquaeye, mendeteksi, keberadaan, korban, air, sore, hasilnya, nihil, proses, penyisiran, km, arah, bendungan, polor, jakarta, barat, nihil, personel, sar, gabungan, tangerang, tangsel, jakarta, dikerahkan, operasi, pencarian, menjelang, malam, operasi, dihentikan, kondisi, tim, beralih, pemantauan, visual, darat, mengantisipasi, korban, terseret, arus, kondisi, air, keruh, banyaknya, tumpukan, sampah, kendala, utama, pencarian, arus, sungai, deras, menyulitkan, proses, penyelaman, pencarian, dilanjutkan, selasa, pagi, memperluas, area, penyisiran, kilometer, titik, kejadian"/>
    <x v="0"/>
    <n v="0.98078006505966098"/>
  </r>
  <r>
    <x v="7"/>
    <s v="Aqua Tofana â˜ ï¸??ï¸??_x000a__x000a_MUA &amp; Hair autojamesmakeup  pongsakjoejo_makeup _x000a_Costume maya_modern _x000a_Photographer ninja_wsp136 _x000a_Director atlove_tungkae _x000a_Assistant pre._.mikaa _x000a__x000a_#Halloween #Halloween2025 #Aquatofana"/>
    <s v="Patraporn Wang"/>
    <s v="INSTAGRAM"/>
    <n v="3069"/>
    <n v="58"/>
    <n v="3127"/>
    <n v="1.1599999999999999E-2"/>
    <n v="1792140"/>
    <x v="62"/>
    <s v="https://www.instagram.com/p/DQS8HTiEh3d/"/>
    <s v="aqua tofana mua hair autojamesmakeup pongsakjoejomakeup costume mayamodern photographer ninjawsp director atlovetungkae assistant premikaa"/>
    <s v="halloween, halloween2025, aquatofana"/>
    <s v="aqua, tofana, mua, hair, autojamesmakeup, pongsakjoejomakeup, costume, mayamodern, photographer, ninjawsp, director, atlovetungkae, assistant, premikaa"/>
    <x v="0"/>
    <n v="0.97785270214080799"/>
  </r>
  <r>
    <x v="5"/>
    <s v="Setelah ramai soal sumur bor oleh Aqua, Gubernur Jawa Barat Dedi Mulyadi kini menyoroti truk pembawa galon mereka. Dalam sebuah video yang dia unggah di media sosialnya, Dedi bertanya berapa berat muatan yang dibawa oleh truk milik Aqua. _x000a__x000a_Pegawai yang ditanya tersebut pun menjawa 13,5 ton. Sementara itu, truk tersebut semestinya hanya boleh membawa muatan seberat 5 ton. Akibatnya, kata dedimulyadi71 , truk yang kelebihan muatan itu akan membuat jalan rusak. _x000a__x000a_Produser: Eko Supriyadi_x000a_Kreator: Pangeran Arga _x000a__x000a_#Republika #CekRepublikaAja #KDM"/>
    <s v="Republika Online"/>
    <s v="INSTAGRAM"/>
    <n v="1776"/>
    <n v="164"/>
    <n v="1940"/>
    <n v="4.1000000000000003E-3"/>
    <n v="1791080"/>
    <x v="29"/>
    <s v="https://www.instagram.com/reel/DQLUxwfkty_/"/>
    <s v="ramai sumur bor aqua gubernur jawa barat dedi mulyadi menyoroti truk pembawa galon video unggah media sosialnya dedi berat muatan dibawa truk milik aqua pegawai menjawa ton truk semestinya membawa muatan seberat ton akibatnya dedimulyadi truk kelebihan muatan jalan rusak produser eko supriyadi kreator pangeran arga"/>
    <s v="republika, cekrepublikaaja, kdm"/>
    <s v="ramai, sumur, bor, aqua, gubernur, jawa, barat, dedi, mulyadi, menyoroti, truk, pembawa, galon, video, unggah, media, sosialnya, dedi, berat, muatan, dibawa, truk, milik, aqua, pegawai, menjawa, ton, truk, semestinya, membawa, muatan, seberat, ton, akibatnya, dedimulyadi, truk, kelebihan, muatan, jalan, rusak, produser, eko, supriyadi, kreator, pangeran, arga"/>
    <x v="2"/>
    <n v="0.76693105697631803"/>
  </r>
  <r>
    <x v="1"/>
    <s v="Gubernur Jawa Barat Dedi Mulyadi melakukan inspeksi mendadak ke pabrik air minum merek Aqua di Subang, Jawa Barat._x000a__x000a_Dalam sidak itu, Dedi menanyakan volume air yang diambil perusahaan setiap hari._x000a__x000a_â€œSekitar 2.850.000 liter,â€ kata perwakilan perusahaan, dikutip Rabu, 22 Oktober 2025._x000a__x000a_Dedi mengaku terkejut karena sumber air ternyata berasal dari dua sumur bor dalam, bukan dari mata air pegunungan seperti yang di branding dalam iklan._x000a__x000a_â€œAir gunung enggak ambil bawah tanah, apa enggak geser tanahnya? Ini harus diperhitungkan,â€ ujar Dedi._x000a__x000a_Ia pun meminta agar izin operasional dan pengambilan air tanah perusahaan ditinjau ulang untuk mencegah kerusakan lingkungan._x000a__x000a_Bagaimana menurut kamu?_x000a__x000a_Creative Video: Abdul Rouf Ade Segun_x000a__x000a_#Rmol #republikmedeka #republikmedekaonline"/>
    <s v="Republik Merdeka Online"/>
    <s v="INSTAGRAM"/>
    <n v="8123"/>
    <n v="914"/>
    <n v="9037"/>
    <n v="4.0399999999999998E-2"/>
    <n v="1790250"/>
    <x v="63"/>
    <s v="https://www.instagram.com/reel/DQHgnwHCZel/"/>
    <s v="gubernur jawa barat dedi mulyadi inspeksi mendadak pabrik air minum merek aqua subang jawa barat sidak dedi volume air diambil perusahaan liter perwakilan perusahaan dikutip rabu oktober dedi mengaku terkejut sumber air berasal sumur bor mata air pegunungan branding iklan air gunung ambil tanah geser tanahnya diperhitungkan dedi izin operasional pengambilan air tanah perusahaan ditinjau ulang mencegah kerusakan lingkungan creative video abdul rouf ade segun"/>
    <s v="rmol, republikmedeka, republikmedekaonline"/>
    <s v="gubernur, jawa, barat, dedi, mulyadi, inspeksi, mendadak, pabrik, air, minum, merek, aqua, subang, jawa, barat, sidak, dedi, volume, air, diambil, perusahaan, liter, perwakilan, perusahaan, dikutip, rabu, oktober, dedi, mengaku, terkejut, sumber, air, berasal, sumur, bor, mata, air, pegunungan, branding, iklan, air, gunung, ambil, tanah, geser, tanahnya, diperhitungkan, dedi, izin, operasional, pengambilan, air, tanah, perusahaan, ditinjau, ulang, mencegah, kerusakan, lingkungan, creative, video, abdul, rouf, ade, segun"/>
    <x v="0"/>
    <n v="0.92661803960800104"/>
  </r>
  <r>
    <x v="7"/>
    <s v="MALANG â€“ 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_x000a__x000a_Salah satu pemilik warung makan di Kota Malang, Tiamah, mengungkapkan bahwa permintaan konsumen terhadap Aqua memang sudah berkurang jauh, bahkan sebelum muncul isu sumur bor itu._x000a__x000a_â€œJarang sekarang saya ambil merek Aqua, soalnya sudah jarang yang mau beli. Biasanya sekarang orang lebih suka Le Minerale, Cleo, atau yang baru itu, Aquiviva (merek lain air mineral),â€ ujar Tiamah, Minggu (26/10/2025)._x000a__x000a_Ia menambahkan, sejak banyak bermunculan merek lain dengan harga lebih terjangkau, Aqua semakin jarang diminati._x000a__x000a_â€œMemang sejak banyak brand lain, Aqua jarang diminati. Banyak yang lebih murah juga soalnya,â€ ungkapnya._x000a__x000a_Sementara itu, salah satu konsumen di Kota Malang, Abel, mengaku sudah lama tidak membeli Aqua. Ia menilai informasi yang beredar di media sosial tentang penggunaan air sumur bor membuatnya makin enggan membeli produk tersebut._x000a__x000a_---_x000a_Sumber: TIMES INDONESIA_x000a_#infomalangan"/>
    <s v="INFO MALANG TERUPDATE ??"/>
    <s v="INSTAGRAM"/>
    <n v="1877"/>
    <n v="259"/>
    <n v="2136"/>
    <n v="8.3000000000000001E-3"/>
    <n v="1789450"/>
    <x v="36"/>
    <s v="https://www.instagram.com/p/DQTAGw1EvHN/"/>
    <s v="malang 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bermunculan merek harga terjangkau aqua jarang diminati brand aqua jarang diminati murah salah konsumen kota malang abel mengaku membeli aqua menilai informasi beredar media sosial penggunaan air sumur bor membuatnya enggan membeli produk sumber times indonesia"/>
    <s v="infomalangan"/>
    <s v="malang, isu, penggunaan, air, sumur, bor, produksi, air, mineral, merek, aqua, diungkap, inspeksi, mendadak, sidak, gubernur, jawa, barat, dedi, mulyadi, berimbas, kota, malang, penjual, konsumen, mengaku, beralih, merek, menurunnya, kepercayaan, produk, salah, pemilik, warung, makan, kota, malang, tiamah, permintaan, konsumen, aqua, berkurang, muncul, isu, sumur, bor, jarang, ambil, merek, aqua, jarang, beli, orang, suka, le, minerale, cleo, aquiviva, merek, air, mineral, tiamah, minggu, bermunculan, merek, harga, terjangkau, aqua, jarang, diminati, brand, aqua, jarang, diminati, murah, salah, konsumen, kota, malang, abel, mengaku, membeli, aqua, menilai, informasi, beredar, media, sosial, penggunaan, air, sumur, bor, membuatnya, enggan, membeli, produk, sumber, times, indonesia"/>
    <x v="1"/>
    <n v="0.84032255411148005"/>
  </r>
  <r>
    <x v="10"/>
    <s v="Dimana-mana bikin heboh. Terima kasih Kang Dedi Mulyadi yang membuka buanyak sekali tabir Aqua. Semoga brand mineral lokal Jawa Barat segera bertumbuh menggantikan brand brand terafiliasi._x000a__x000a_#KDM #Buycut #Boycott #Boikot #Aqua"/>
    <s v="Habib AMA"/>
    <s v="INSTAGRAM"/>
    <n v="1153"/>
    <n v="75"/>
    <n v="1228"/>
    <n v="1.15E-2"/>
    <n v="1789120"/>
    <x v="42"/>
    <s v="https://www.instagram.com/reel/DQOEvxZEedQ/"/>
    <s v="dimanamana bikin heboh terima kasih kang dedi mulyadi membuka buanyak tabir aqua semoga brand mineral lokal jawa barat bertumbuh menggantikan brand brand terafiliasi"/>
    <s v="kdm, buycut, boycott, boikot, aqua"/>
    <s v="dimanamana, bikin, heboh, terima, kasih, kang, dedi, mulyadi, membuka, buanyak, tabir, aqua, semoga, brand, mineral, lokal, jawa, barat, bertumbuh, menggantikan, brand, brand, terafiliasi"/>
    <x v="1"/>
    <n v="0.93963295221328702"/>
  </r>
  <r>
    <x v="15"/>
    <s v="Menyatukan semangat dan sportivitas! ??_x000a__x000a_Haier-AQUA Badminton Regional Tournament 2025 sukses digelar di Baliâœ¨âœ¨_x000a_Bukan sekedar pertandingan, tapi ini juga ajang untuk mempererat kolaborasi antara Haier-AQUA dari 5 negara Asia. _x000a__x000a_#AQUAElektronik #AQUASmartHome #GlobalNo1"/>
    <s v="AQUA Elektronik"/>
    <s v="INSTAGRAM"/>
    <n v="1095"/>
    <n v="6"/>
    <n v="1101"/>
    <n v="8.6E-3"/>
    <n v="1789020"/>
    <x v="64"/>
    <s v="https://www.instagram.com/reel/DP5gjQEAEMg/"/>
    <s v="menyatukan semangat sportivitas haieraqua badminton regional tournament sukses digelar bali sekedar pertandingan ajang mempererat kolaborasi haieraqua negara asia"/>
    <s v="aquaelektronik, aquasmarthome, globalno1"/>
    <s v="menyatukan, semangat, sportivitas, haieraqua, badminton, regional, tournament, sukses, digelar, bali, sekedar, pertandingan, ajang, mempererat, kolaborasi, haieraqua, negara, asia"/>
    <x v="1"/>
    <n v="0.65266609191894498"/>
  </r>
  <r>
    <x v="5"/>
    <s v="Produsen air minum dalam kemasan Aqua, akhirnya angkat bicara merespons isu yang viral di media sosial. Isu ini mencuat setelah kunjungan mendadak Gubernur Jawa Barat Dedi Mulyadi, yang menyoroti sumber air yang digunakan pabrik Aqua, yang disebut berasal dari sumur bor biasa._x000a__x000a_Melalui pernyataan resmi di situsnya, Aqua memastikan bahwa air yang mereka kemas berasal dari akuifer dalam dengan kedalaman 60-140 meter._x000a__x000a_â€œKami memastikan menggunakan air dari akuifer dalam yang merupakan bagian dari sistem hidrogeologi pegunungan,&quot; jelas Aqua._x000a__x000a_Perusahaan menekankan, air dari sumber tersebut terlindungi secara alami. Sebagian titik sumber juga bersifat self-flowing atau mengalir alami. _x000a__x000a_Aqua mengatakan pemilihan dan pengambilan airnya pun telah melalui proses seleksi dan kajian ilmiah yang ketat dan dilakukan oleh tim ahli dari berbagai disiplin ilmu seperti geologi, hidrogeologi, geofisika, dan mikrobiologi._x000a__x000a_#TirtoDaily"/>
    <s v="tirto.id"/>
    <s v="INSTAGRAM"/>
    <n v="2378"/>
    <n v="258"/>
    <n v="2636"/>
    <n v="2.3999999999999998E-3"/>
    <n v="1788880"/>
    <x v="65"/>
    <s v="https://www.instagram.com/reel/DQLU3p2ACjs/"/>
    <s v="produsen air minum kemasan aqua angkat bicara merespons isu viral media sosial isu mencuat kunjungan mendadak gubernur jawa barat dedi mulyadi menyoroti sumber air pabrik aqua berasal sumur bor pernyataan resmi situsnya aqua air kemas berasal akuifer kedalaman meter air akuifer sistem hidrogeologi pegunungan aqua perusahaan menekankan air sumber terlindungi alami titik sumber bersifat selfflowing mengalir alami aqua pemilihan pengambilan airnya proses seleksi kajian ilmiah ketat tim ahli disiplin ilmu geologi hidrogeologi geofisika mikrobiologi"/>
    <s v="tirtodaily"/>
    <s v="produsen, air, minum, kemasan, aqua, angkat, bicara, merespons, isu, viral, media, sosial, isu, mencuat, kunjungan, mendadak, gubernur, jawa, barat, dedi, mulyadi, menyoroti, sumber, air, pabrik, aqua, berasal, sumur, bor, pernyataan, resmi, situsnya, aqua, air, kemas, berasal, akuifer, kedalaman, meter, air, akuifer, sistem, hidrogeologi, pegunungan, aqua, perusahaan, menekankan, air, sumber, terlindungi, alami, titik, sumber, bersifat, selfflowing, mengalir, alami, aqua, pemilihan, pengambilan, airnya, proses, seleksi, kajian, ilmiah, ketat, tim, ahli, disiplin, ilmu, geologi, hidrogeologi, geofisika, mikrobiologi"/>
    <x v="0"/>
    <n v="0.87796998023986805"/>
  </r>
  <r>
    <x v="10"/>
    <s v="Kementerian Energi dan Sumber Daya Mineral (ESDM) akhirnya menanggapi polemik sumber air yang digunakan oleh produsen air minum dalam kemasan (AMDK) Aqua, usai Gubernur Jawa Barat Dedi Mulyadi menyoroti praktik pengambilan air perusahaan tersebut. Wakil Menteri ESDM Yuliot Tanjung menegaskan, seluruh kegiatan pengambilan air tanah oleh perusahaan telah diatur ketat melalui peraturan menteri dan diawasi langsung oleh Badan Geologi. Ia menambahkan, jika ditemukan pelanggaran izin atau ketidaksesuaian, kegiatan pengambilan air bisa dihentikan sesuai kondisi di lapangan._x000a__x000a_Sebelumnya, Dedi Mulyadi lewat unggahan di kanal YouTube Kang Dedi Mulyadi Channel, mengaku terkejut karena sumber air Aqua berasal dari empat sumur dengan kedalaman lebih dari 100 meter. Menurutnya, selama ini publik mengira air yang digunakan berasal dari air permukaan. Pernyataan ini memicu diskusi luas di media sosial, terutama soal transparansi dan keberlanjutan pengelolaan sumber daya air oleh industri air minum dalam kemasan._x000a__x000a_Naskah dan Desain: Asep Suherman_x000a__x000a_#Aqua #ESDM #DediMulyadi #AirTanah #BeritaTerkini #LingkunganHidup #AMDK #KabarNasional"/>
    <s v="Warta Ekonomi"/>
    <s v="INSTAGRAM"/>
    <n v="1333"/>
    <n v="273"/>
    <n v="1606"/>
    <n v="4.7000000000000002E-3"/>
    <n v="1787850"/>
    <x v="24"/>
    <s v="https://www.instagram.com/p/DQOtGehjB6P/"/>
    <s v="kementerian energi sumber daya mineral esdm menanggapi polemik sumber air produsen air minum kemasan amdk aqua gubernur jawa barat dedi mulyadi menyoroti praktik pengambilan air perusahaan wakil menteri esdm yuliot tanjung kegiatan pengambilan air tanah perusahaan diatur ketat peraturan menteri diawasi langsung badan geologi ditemukan pelanggaran izin ketidaksesuaian kegiatan pengambilan air dihentikan sesuai kondisi lapangan dedi mulyadi unggahan kanal youtube kang dedi mulyadi channel mengaku terkejut sumber air aqua berasal sumur kedalaman meter menurutnya publik air berasal air permukaan pernyataan memicu diskusi luas media sosial transparansi keberlanjutan pengelolaan sumber daya air industri air minum kemasan naskah desain asep suherman"/>
    <s v="aqua, esdm, dedimulyadi, airtanah, beritaterkini, lingkunganhidup, amdk, kabarnasional"/>
    <s v="kementerian, energi, sumber, daya, mineral, esdm, menanggapi, polemik, sumber, air, produsen, air, minum, kemasan, amdk, aqua, gubernur, jawa, barat, dedi, mulyadi, menyoroti, praktik, pengambilan, air, perusahaan, wakil, menteri, esdm, yuliot, tanjung, kegiatan, pengambilan, air, tanah, perusahaan, diatur, ketat, peraturan, menteri, diawasi, langsung, badan, geologi, ditemukan, pelanggaran, izin, ketidaksesuaian, kegiatan, pengambilan, air, dihentikan, sesuai, kondisi, lapangan, dedi, mulyadi, unggahan, kanal, youtube, kang, dedi, mulyadi, channel, mengaku, terkejut, sumber, air, aqua, berasal, sumur, kedalaman, meter, menurutnya, publik, air, berasal, air, permukaan, pernyataan, memicu, diskusi, luas, media, sosial, transparansi, keberlanjutan, pengelolaan, sumber, daya, air, industri, air, minum, kemasan, naskah, desain, asep, suherman"/>
    <x v="0"/>
    <n v="0.92654341459274203"/>
  </r>
  <r>
    <x v="2"/>
    <s v="Bukan dari sumber mata air alami pegunungan, tapi dari sumur bor. KDM Bongkar Fakta di Balik Air Kemasan: Bukan dari Mata Air, tapi dari Sumur Bor Sidak Gubernur Jawa Barat Dedi Mulyadi (KDM) pada 21 Oktober 2025 mengungkap temuan mengejutkan. _x000a__x000a_Air minum dalam kemasan (AMDK) dari salah satu merek besar ternyata bukan berasal dari mata air alami, melainkan air tanah dalam hasil pengeboran artesis hingga 100 meter lebih di bawah permukaan bumi. Data mencatat, Danoneâ€“AQUA menyedot 15.737,79 megaliter air tanah sepanjang 2023 â€” setara 43 ribu meter kubik per hari. _x000a__x000a_Padahal, penurunan muka air tanah di beberapa wilayah sudah mencapai 1â€“3 meter per tahun, dan bahkan permukaan tanah turun hingga 23 sentimeter di sekitar kawasan industri air minum. _x000a__x000a_Masyarakat di sekitar pabrik, dari Jawa Barat hingga Jawa Timur, mulai merasakan dampaknya: sumur menipis, sawah mengering, dan musim kemarau jadi makin panjang. ??ï¸ â€œAir tanah adalah warisan kehidupan. Ia diam, tapi ketika habis, bumi akan retak,â€ tegas KDM. _x000a__x000a_Sidak ini bukan sekadar soal izin â€” tapi soal hak publik atas air, sumber hidup yang seharusnya dijaga bersama. Kamu biasa minum air mineral apa?_x000a__x000a_#infocileungsiid #cileungsiviral #infocileungsi #bogor"/>
    <s v="Info Cileungsi dan Sekitarnya"/>
    <s v="INSTAGRAM"/>
    <n v="1494"/>
    <n v="141"/>
    <n v="1635"/>
    <n v="8.8999999999999999E-3"/>
    <n v="1786390"/>
    <x v="66"/>
    <s v="https://www.instagram.com/p/DQJVyBVEqTw/"/>
    <s v="sumber mata air alami pegunungan sumur bor 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
    <s v="infocileungsiid, cileungsiviral, infocileungsi, bogor"/>
    <s v="sumber, mata, air, alami, pegunungan, sumur, bor, 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minum, air, mineral"/>
    <x v="0"/>
    <n v="0.80042815208435003"/>
  </r>
  <r>
    <x v="2"/>
    <s v="Jagat maya tengah ramai memperbincangkan video sidak yang dilakukan oleh Gubernur Jawa Barat, Dedi Mulyadi, ke salah satu pabrik air mineral di Subang, Jawa Barat._x000a__x000a_Dalam video yang viral di media sosial itu, Dedi, yang akrab disapa KDM, mempertanyakan klaim iklan air pegunungan alami yang selama ini menjadi identitas kuat merek air mineral dalam kemasan (AMDK) terbesar di Indonesia tersebut._x000a__x000a_Awalnya, KDM mempersoalkan jalan provinsi yang digunakan oleh perusahaan. &quot;Jalan yang bagus dibangun provinsi tiap hari, ini hanya akan membahagiakan PT AQUA,&quot; terangnya kepada staf perusahaan AMDK tersebut._x000a__x000a_Yang mengejutkan, sidak itu juga mengungkap bahwa air yang diproduksi perusahaan tersebut ternyata berasal dari pengeboran air tanah dalam (sumur bor), bukan dari mata air alami di permukaan gunung sebagaimana diasosiasikan dalam promosi produknya._x000a__x000a_â€œAir Pegunungan, Tapi dari Sumur Bor?â€ tanya KDM._x000a__x000a_Pihak perusahaan menjelaskan bahwa proses pengeboran tersebut dilakukan untuk mendapatkan air dari lapisan tanah paling murni, yang dianggap memiliki kualitas terbaik untuk konsumsi. Namun, klarifikasi itu justru memicu perdebatan sengit di dunia maya._x000a__x000a_Berita disadur dari: Jawapos.com I Rian Alfianto I Kamis, 23 Oktober 2025 I 09;59 WIB_x000a__x000a_?? YT/kangdedimulyadichannel"/>
    <s v="MALANG RAYA INFO - MEDIA"/>
    <s v="INSTAGRAM"/>
    <n v="1916"/>
    <n v="85"/>
    <n v="2001"/>
    <n v="3.0000000000000001E-3"/>
    <n v="1786050"/>
    <x v="67"/>
    <s v="https://www.instagram.com/p/DQI3a6xErdp/"/>
    <s v="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air pegunungan sumur bor kdm perusahaan proses pengeboran air lapisan tanah murni dianggap memiliki kualitas terbaik konsumsi klarifikasi memicu perdebatan sengit dunia maya berita disadur jawaposcom i rian alfianto i kamis oktober i wib ytkangdedimulyadichannel"/>
    <m/>
    <s v="jagat, maya, ramai, memperbincangkan, video, sidak, gubernur, jawa, barat, dedi, mulyadi, salah, pabrik, air, mineral, subang, jawa, barat, video, viral, media, sosial, dedi, akrab, disapa, kdm, klaim, iklan, air, pegunungan, alami, identitas, kuat, merek, air, mineral, kemasan, amdk, terbesar, indonesia, kdm, jalan, provinsi, perusahaan, jalan, bagus, dibangun, provinsi, membahagiakan, pt, aqua, terangnya, staf, perusahaan, amdk, mengejutkan, sidak, mengungkap, air, diproduksi, perusahaan, berasal, pengeboran, air, tanah, sumur, bor, mata, air, alami, permukaan, gunung, diasosiasikan, promosi, produknya, air, pegunungan, sumur, bor, kdm, perusahaan, proses, pengeboran, air, lapisan, tanah, murni, dianggap, memiliki, kualitas, terbaik, konsumsi, klarifikasi, memicu, perdebatan, sengit, dunia, maya, berita, disadur, jawaposcom, i, rian, alfianto, i, kamis, oktober, i, wib, ytkangdedimulyadichannel"/>
    <x v="1"/>
    <n v="0.81488722562789895"/>
  </r>
  <r>
    <x v="5"/>
    <s v="Ketua Badan Perlindungan Konsumen Nasional (BPKN) Mufti Mubarok menyatakan pihaknya akan memanggil manajemen dan Direktur utama PT Tirta Investama selaku produsen air minum kemasan merek Aqua._x000a__x000a_Rencana pemanggilan tersebut dilakukan setelah muncul dugaan bahwa sumber air produksi berasal dari sumur bor atau air tanah, bukan dari mata air pegunungan sebagaimana diklaim dalam iklan produk mereka selama ini._x000a__x000a_Mufti menegaskan BPKN punya tanggung jawab moral dan hukum untuk memastikan konsumen tidak disesatkan oleh informasi yang menyesatkan. BPKN akan berkoordinasi dengan Badan Pengawas Obat dan Makanan (BPOM) serta Kementerian Perindustrian untuk memeriksa izin sumber air dan memastikan tidak ada pelanggaran terhadap standar mutu air minum dalam kemasan (AMDK)._x000a__x000a_Baca selengkapnya di tempo.co dan link in bio._x000a__x000a_#tempodotco #tempo #Aqua #air #minum #BPKN"/>
    <s v="tempo.co by Tempo Media Group"/>
    <s v="INSTAGRAM"/>
    <n v="2004"/>
    <n v="294"/>
    <n v="2298"/>
    <n v="1.1999999999999999E-3"/>
    <n v="1784910"/>
    <x v="68"/>
    <s v="https://www.instagram.com/p/DQLzsV0jBS2/"/>
    <s v="ketua badan perlindungan konsumen nasional bpkn mufti mubarok memanggil manajemen direktur utama pt tirta investama produsen air minum kemasan merek aqua rencana pemanggilan muncul dugaan sumber air produksi berasal sumur bor air tanah mata air pegunungan diklaim iklan produk mufti bpkn tanggung moral hukum konsumen disesatkan informasi menyesatkan bpkn berkoordinasi badan pengawas obat makanan bpom kementerian perindustrian memeriksa izin sumber air pelanggaran standar mutu air minum kemasan amdk baca selengkapnya tempoco link in bio"/>
    <s v="tempodotco, tempo, aqua, air, minum, bpkn"/>
    <s v="ketua, badan, perlindungan, konsumen, nasional, bpkn, mufti, mubarok, memanggil, manajemen, direktur, utama, pt, tirta, investama, produsen, air, minum, kemasan, merek, aqua, rencana, pemanggilan, muncul, dugaan, sumber, air, produksi, berasal, sumur, bor, air, tanah, mata, air, pegunungan, diklaim, iklan, produk, mufti, bpkn, tanggung, moral, hukum, konsumen, disesatkan, informasi, menyesatkan, bpkn, berkoordinasi, badan, pengawas, obat, makanan, bpom, kementerian, perindustrian, memeriksa, izin, sumber, air, pelanggaran, standar, mutu, air, minum, kemasan, amdk, baca, selengkapnya, tempoco, link, in, bio"/>
    <x v="0"/>
    <n v="0.777410387992858"/>
  </r>
  <r>
    <x v="5"/>
    <s v="Setelah video inspeksi Dedi Mulyadi (KDM) ke pabrik AQUA viral di media sosial yang menampilkan empat sumur dengan kedalaman sekitar 100 meter, gubernur Jawa Barat itu akhirnya memberikan klarifikasi._x000a__x000a_Pernyataan ini disampaikan untuk menanggapi berbagai spekulasi publik mengenai asal air produksi AQUA yang sebelumnya sempat memicu perdebatan di media sosial."/>
    <s v="SUKABUMI TODAY | berita update terkini"/>
    <s v="INSTAGRAM"/>
    <n v="2260"/>
    <n v="56"/>
    <n v="2316"/>
    <n v="1.01E-2"/>
    <n v="1784810"/>
    <x v="69"/>
    <s v="https://www.instagram.com/reel/DQLexHCkyzA/"/>
    <s v="video inspeksi dedi mulyadi kdm pabrik aqua viral media sosial menampilkan sumur kedalaman meter gubernur jawa barat klarifikasi pernyataan menanggapi spekulasi publik air produksi aqua memicu perdebatan media sosial"/>
    <m/>
    <s v="video, inspeksi, dedi, mulyadi, kdm, pabrik, aqua, viral, media, sosial, menampilkan, sumur, kedalaman, meter, gubernur, jawa, barat, klarifikasi, pernyataan, menanggapi, spekulasi, publik, air, produksi, aqua, memicu, perdebatan, media, sosial"/>
    <x v="0"/>
    <n v="0.98392647504806496"/>
  </r>
  <r>
    <x v="2"/>
    <s v="Sidak Gubernur Jawa Barat Dedi Mulyadi ke salah satu pabrik air mineral di Subang viral di media sosial._x000a__x000a_Pabrik air mineral itu disebut adalah pabrik air minum Aqua. Dalam video yang dibagikan di akun YouTube Dedi Mulyadi, mantan Bupati Purwarkarta itu kaget usai mengetahui sumber mata air yang diambil bukan dari pegunungan._x000a__x000a_Melainkan bersumber dari air tanah dalam yang diambil melalui proses bor. Dedi kemudian bertanya mengenai risiko lingkungan kepada pegawai perusahaan._x000a__x000a_Namun mereka tampak kebingungan menjawab pertanyaan Dedi. Usai video itu viral, Aqua bikin pernyataan._x000a__x000a_Aqua memastikan sumber air mereka bukan berasal dari sumur bor biasa. Tetapi dari lapisan air tanah alami dan sudah teruji oleh para ahli._x000a__x000a_Aqua juga memastikan bahwa pengambilan air sudah mendapat izin dari pemerintah serta tidak mengganggu sumber air masyarakat._x000a__x000a_#dedimulyadi #demul #gubernurjawabarat #aqua #sumberair #airaqua #sidak #pabrikaqua #jawabarat #jabar #news #suaradotcom #suara"/>
    <s v="Suaradotcom"/>
    <s v="INSTAGRAM"/>
    <n v="1013"/>
    <n v="119"/>
    <n v="1132"/>
    <n v="1.6000000000000001E-3"/>
    <n v="1784310"/>
    <x v="70"/>
    <s v="https://www.instagram.com/reel/DQI6NLsjE-t/"/>
    <s v="sidak gubernur jawa barat dedi mulyadi salah pabrik air mineral subang viral media sosial pabrik air mineral pabrik air minum aqua video dibagikan akun youtube dedi mulyadi mantan bupati purwarkarta kaget sumber mata air diambil pegunungan bersumber air tanah diambil proses bor dedi risiko lingkungan pegawai perusahaan kebingungan dedi video viral aqua bikin pernyataan aqua sumber air berasal sumur bor lapisan air tanah alami teruji ahli aqua pengambilan air izin pemerintah mengganggu sumber air masyarakat"/>
    <s v="dedimulyadi, demul, gubernurjawabarat, aqua, sumberair, airaqua, sidak, pabrikaqua, jawabarat, jabar, news, suaradotcom, suara"/>
    <s v="sidak, gubernur, jawa, barat, dedi, mulyadi, salah, pabrik, air, mineral, subang, viral, media, sosial, pabrik, air, mineral, pabrik, air, minum, aqua, video, dibagikan, akun, youtube, dedi, mulyadi, mantan, bupati, purwarkarta, kaget, sumber, mata, air, diambil, pegunungan, bersumber, air, tanah, diambil, proses, bor, dedi, risiko, lingkungan, pegawai, perusahaan, kebingungan, dedi, video, viral, aqua, bikin, pernyataan, aqua, sumber, air, berasal, sumur, bor, lapisan, air, tanah, alami, teruji, ahli, aqua, pengambilan, air, izin, pemerintah, mengganggu, sumber, air, masyarakat"/>
    <x v="2"/>
    <n v="0.64002066850662198"/>
  </r>
  <r>
    <x v="1"/>
    <s v="KDM Bongkar Fakta di Balik Air Kemasan: Bukan dari Mata Air, tapi dari Sumur Bor â¬…ï¸_x000a__x000a_Sidak Gubernur Jawa Barat Dedi Mulyadi (KDM) pada 21 Oktober 2025 mengungkap temuan mengejutkan._x000a__x000a_Air minum dalam kemasan (AMDK) dari salah satu merek besar ternyata bukan berasal dari mata air alami, melainkan air tanah dalam hasil pengeboran artesis hingga 100 meter lebih di bawah permukaan bumi._x000a__x000a_Data mencatat, Danoneâ€“AQUA menyedot 15.737,79 megaliter air tanah sepanjang 2023 â€” setara 43 ribu meter kubik per hari._x000a__x000a_Padahal, penurunan muka air tanah di beberapa wilayah sudah mencapai 1â€“3 meter per tahun, dan bahkan permukaan tanah turun hingga 23 sentimeter di sekitar kawasan industri air minum._x000a__x000a_Masyarakat di sekitar pabrik, dari Jawa Barat hingga Jawa Timur, mulai merasakan dampaknya:_x000a_sumur menipis, sawah mengering, dan musim kemarau jadi makin panjang._x000a__x000a_??ï¸ â€œAir tanah adalah warisan kehidupan. Ia diam, tapi ketika habis, bumi akan retak,â€ tegas KDM._x000a__x000a_Sidak ini bukan sekadar soal izin â€” tapi soal hak publik atas air, sumber hidup yang seharusnya dijaga bersama._x000a__x000a_??: YT/KangDediMulyadiChannel_x000a_?? : inilah_com"/>
    <s v="Cerita Medan"/>
    <s v="INSTAGRAM"/>
    <n v="4085"/>
    <n v="259"/>
    <n v="4344"/>
    <n v="1.38E-2"/>
    <n v="18250"/>
    <x v="71"/>
    <s v="https://www.instagram.com/reel/DQHUli4idkJ/"/>
    <s v="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ytkangdedimulyadichannel inilahcom"/>
    <m/>
    <s v="kdm, bongkar, fakta, air, kemasan, mata, air, sumur, bor, sidak, gubernur, jawa, barat, dedi, mulyadi, kdm, oktober, mengungkap, temuan, mengejutkan, air, minum, kemasan, amdk, salah, merek, berasal, mata, air, alami, air, tanah, hasil, pengeboran, artesis, meter, permukaan, bumi, data, mencatat, danoneaqua, menyedot, megaliter, air, tanah, setara, ribu, meter, kubik, penurunan, muka, air, tanah, wilayah, mencapai, meter, permukaan, tanah, turun, sentimeter, kawasan, industri, air, minum, masyarakat, pabrik, jawa, barat, jawa, timur, merasakan, dampaknya, sumur, menipis, sawah, mengering, musim, kemarau, air, tanah, warisan, kehidupan, diam, habis, bumi, retak, kdm, sidak, izin, hak, publik, air, sumber, hidup, dijaga, ytkangdedimulyadichannel, inilahcom"/>
    <x v="0"/>
    <n v="0.59274876117706299"/>
  </r>
  <r>
    <x v="11"/>
    <s v="Tabrak Lari di Depan Al Azhar Pogung, Korban Harap Pelaku Menunjukkan Itikad Baik_x000a__x000a_Yogyakarta â€“ Telah terjadi insiden tabrak lari di depan Al Azhar Pogung, Sleman, pada Selasa (21/10) sore sekitar pukul 16.00 WIB._x000a_Korban merupakan pengendara mobil berwarna putih yang mengalami kerusakan cukup parah di bagian samping kanan akibat terserempet mobil pickup pengangkut galon air (Aqua)._x000a__x000a_Menurut keterangan korban, kendaraan pelaku langsung melarikan diri usai kejadian tanpa memberikan pertanggungjawaban._x000a_â€œSaya cuma berharap pelaku bisa melihat postingan ini dan menunjukkan itikad baiknya,â€ ujar korban melalui pesan yang disampaikan kepada redaksi._x000a__x000a_Dari foto yang diterima, tampak sisi kanan kendaraan korban mengalami baret dan penyok cukup dalam, termasuk spion yang patah akibat benturan._x000a__x000a_Warga sekitar diimbau bagi siapa pun yang mengetahui keberadaan pickup pengangkut galon air yang melintas di sekitar Pogung â€“ Al Azhar pada waktu kejadian, dapat memberikan informasi kepada pihak berwajib atau menghubungi korban secara langsung."/>
    <s v="Merapi Uncover"/>
    <s v="INSTAGRAM"/>
    <n v="1751"/>
    <n v="66"/>
    <n v="1817"/>
    <n v="1.6000000000000001E-3"/>
    <n v="18128"/>
    <x v="72"/>
    <s v="https://www.instagram.com/p/DQEtBrCkrGZ/"/>
    <s v="tabrak lari al azhar pogung korban harap pelaku itikad yogyakarta insiden tabrak lari al azhar pogung sleman selasa sore wib korban pengendara mobil berwarna putih mengalami kerusakan parah samping kanan akibat terserempet mobil pickup pengangkut galon air aqua keterangan korban kendaraan pelaku langsung melarikan kejadian pertanggungjawaban berharap pelaku postingan itikad baiknya korban pesan redaksi foto diterima sisi kanan kendaraan korban mengalami baret penyok spion patah akibat benturan warga diimbau keberadaan pickup pengangkut galon air melintas pogung al azhar kejadian informasi berwajib menghubungi korban langsung"/>
    <m/>
    <s v="tabrak, lari, al, azhar, pogung, korban, harap, pelaku, itikad, yogyakarta, insiden, tabrak, lari, al, azhar, pogung, sleman, selasa, sore, wib, korban, pengendara, mobil, berwarna, putih, mengalami, kerusakan, parah, samping, kanan, akibat, terserempet, mobil, pickup, pengangkut, galon, air, aqua, keterangan, korban, kendaraan, pelaku, langsung, melarikan, kejadian, pertanggungjawaban, berharap, pelaku, postingan, itikad, baiknya, korban, pesan, redaksi, foto, diterima, sisi, kanan, kendaraan, korban, mengalami, baret, penyok, spion, patah, akibat, benturan, warga, diimbau, keberadaan, pickup, pengangkut, galon, air, melintas, pogung, al, azhar, kejadian, informasi, berwajib, menghubungi, korban, langsung"/>
    <x v="0"/>
    <n v="0.92803418636321999"/>
  </r>
  <r>
    <x v="5"/>
    <s v="Gubernur Jawa Barat Dedi Mulyadi terkejut saat tahun air AQUA yang diproduksi di Subang ternyata berasal dari sumur bor. AQUA segera menjelaskan bahwa air tersebut bukan dari sumur bor biasa, melainkan berasal dari akuifer dalam yang merupakan bagian dari sistem hidrogeologi pegunungan._x000a__x000a_#FlashTirto"/>
    <s v="tirto.id"/>
    <s v="INSTAGRAM"/>
    <n v="4260"/>
    <n v="604"/>
    <n v="4864"/>
    <n v="4.4000000000000003E-3"/>
    <n v="18081"/>
    <x v="65"/>
    <s v="https://www.instagram.com/p/DQLQPUvD-Je/"/>
    <s v="gubernur jawa barat dedi mulyadi terkejut air aqua diproduksi subang berasal sumur bor aqua air sumur bor berasal akuifer sistem hidrogeologi pegunungan"/>
    <s v="flashtirto"/>
    <s v="gubernur, jawa, barat, dedi, mulyadi, terkejut, air, aqua, diproduksi, subang, berasal, sumur, bor, aqua, air, sumur, bor, berasal, akuifer, sistem, hidrogeologi, pegunungan"/>
    <x v="0"/>
    <n v="0.97770965099334695"/>
  </r>
  <r>
    <x v="12"/>
    <s v="Coba kasih love bomb di komen kalo kamu suka olahraga outdoor! ???? _x000a__x000a_Kalau olahraga di outdoor, pasti pengen kulit terproteksi dari UV tapi tetap terasa nyaman. Untungnya ada Biore UV Aqua Rich yang memberikan #HighProtectionLightTexture. âœ… _x000a__x000a_Dengan tekstur ringan dan proteksi maksimal, high-level performance sunscreen ini siap nemenin kamu untuk shine under the spotlight! âœ¨ _x000a__x000a_#BiorÃ©UV #Sunscreen #StrayKids #SKZ #SKZOO #SUNLIGHTISYOURSPOTLIGHT"/>
    <s v="Biore Women Indonesia"/>
    <s v="INSTAGRAM"/>
    <n v="2170"/>
    <n v="36"/>
    <n v="2206"/>
    <n v="2.1700000000000001E-2"/>
    <n v="18079"/>
    <x v="73"/>
    <s v="https://www.instagram.com/p/DPktI_QEUZj/"/>
    <s v="coba kasih love bomb komen kalo suka olahraga outdoor olahraga outdoor pengen kulit terproteksi uv nyaman untungnya biore uv aqua rich tekstur ringan proteksi maksimal highlevel performance sunscreen nemenin shine under the spotlight"/>
    <s v="highprotectionlighttexture, biorÃ©uv, sunscreen, straykids, skz, skzoo, sunlightisyourspotlight"/>
    <s v="coba, kasih, love, bomb, komen, kalo, suka, olahraga, outdoor, olahraga, outdoor, pengen, kulit, terproteksi, uv, nyaman, untungnya, biore, uv, aqua, rich, tekstur, ringan, proteksi, maksimal, highlevel, performance, sunscreen, nemenin, shine, under, the, spotlight"/>
    <x v="1"/>
    <n v="0.95989745855331399"/>
  </r>
  <r>
    <x v="12"/>
    <s v="?? Fallinâ€™ in loveâ€¦_x000a_Sama siapa? Sama Stylo Y2K Series Aqua Breeze lah! ??_x000a__x000a_Warnanya adem, gayanya keren, dan vibes-nya tuh Y2K banget Bikin susah move on setiap lihat ??_x000a__x000a_Udah cobain naik yang ini belum?_x000a_Komen dong kalau kamu tim Aqua Breeze juga ??_x000a__x000a_hondafansbali _x000a__x000a_#StyloY2KSeries_x000a_#AquaBreeze_x000a_#HondaStylo160_x000a_#160UpgradeYourPride_x000a_#HondaBali"/>
    <s v="INFO DENPASAR"/>
    <s v="INSTAGRAM"/>
    <n v="1974"/>
    <n v="1"/>
    <n v="1975"/>
    <n v="1.4E-3"/>
    <n v="18077"/>
    <x v="74"/>
    <s v="https://www.instagram.com/reel/DPlm-D2E0ww/"/>
    <s v="fallin in love stylo yk series aqua breeze warnanya adem gayanya keren vibesnya tuh yk banget bikin susah move on lihat udah cobain komen tim aqua breeze hondafansbali"/>
    <s v="styloy2kseries, aquabreeze, hondastylo160, 160upgradeyourpride, hondabali"/>
    <s v="fallin, in, love, stylo, yk, series, aqua, breeze, warnanya, adem, gayanya, keren, vibesnya, tuh, yk, banget, bikin, susah, move, on, lihat, udah, cobain, komen, tim, aqua, breeze, hondafansbali"/>
    <x v="1"/>
    <n v="0.60157763957977295"/>
  </r>
  <r>
    <x v="5"/>
    <s v="Fakta-fakta Sumber Air Aqua yang Viral Diduga dari Sumur Borâ€¼ï¸_x000a__x000a_Air mineral dalam kemasan, Aqua , tengah menjadi sorotan karena sumber airnya yang diduga berasal dari sumur bor. _x000a__x000a_Hal tersebut bermula dari konten YouTube Gubernur Jawa Barat Dedi Mulyadi. Dalam konten tersebut, pengelola menyebut sumber air Aqua dari bawah tanah, bukan air permukaan._x000a__x000a_Dedi lalu bertanya kembali apa benar air yang digunakan bukan udara permukaan. Ia juga bertanya lagi dari mana air tanah itu diambil._x000a__x000a_Staf perusahaan itu juga menjawab air diambil dari dalam tanah dengan cara dibor._x000a__x000a_Dengan muka terkejut, Dedi menegaskan lagi bahwa udara benar diambil dari dalam tanah yang dibor. Ia mengira sumber udara berasal dari udara permukaan._x000a__x000a_Danone Pastikan Sumber Air Terlindungi_x000a_Manajemen Danone Indonesia sudah buka suara terkait konten Dedi Mulyadi tersebut. Dalam keterangan tertulisnya, Danone menyatakan bahwa sumber udara yang mereka pakai berasal dari sumber udara pegunungan yang terlindungi._x000a__x000a_&quot;Air AQUA berasal dari 19 sumber air pegunungan yang tersebar di seluruh Indonesia. Setiap sumber air dipilih melalui proses seleksi ketat yang melibatkan 9 kriteria ilmiah, 5 tahapan evaluasi, Minimal 1 tahun penelitian,&quot; demikian keterangan Danone._x000a__x000a_Danone mengakui sumber airnya bukan berasal dari permukaan, namun dari akuifer dalam dengan kedalaman 60-140 meter._x000a__x000a_&quot;Akuifer ini terlindungi secara alami oleh lapisan kedap air sehingga bebas dari kontaminasi aktivitas manusia dan tidak mengganggu penggunaan air masyarakat,&quot; ucap Danone._x000a__x000a_Berita : cnnindonesia.com_x000a__x000a_#infolovesuroboyo #lovesuroboyo _x000a_#aqua #sumurbor #airmineral"/>
    <s v="Love Suroboyo"/>
    <s v="INSTAGRAM"/>
    <n v="1012"/>
    <n v="42"/>
    <n v="1054"/>
    <n v="1.6999999999999999E-3"/>
    <n v="18064"/>
    <x v="75"/>
    <s v="https://www.instagram.com/p/DQMEjtPj0Dh/"/>
    <s v="faktafakta sumber air aqua viral diduga sumur bor air mineral kemasan aqua sorotan sumber airnya diduga berasal sumur bor konten youtube gubernur jawa barat dedi mulyadi konten pengelola menyebut sumber air aqua tanah air permukaan dedi air udara permukaan air tanah diambil staf perusahaan air diambil tanah dibor muka terkejut dedi udara diambil tanah dibor sumber udara berasal udara permukaan danone pastikan sumber air terlindungi manajemen danone indonesia buka suara terkait konten dedi mulyadi keterangan tertulisnya danone sumber udara pakai berasal sumber udara pegunungan terlindungi air aqua berasal sumber air pegunungan tersebar indonesia sumber air dipilih proses seleksi ketat melibatkan kriteria ilmiah tahapan evaluasi minimal penelitian keterangan danone danone mengakui sumber airnya berasal permukaan akuifer kedalaman meter akuifer terlindungi alami lapisan kedap air bebas kontaminasi aktivitas manusia mengganggu penggunaan air masyarakat danone berita cnnindonesiacom"/>
    <s v="infolovesuroboyo, lovesuroboyo, aqua, sumurbor, airmineral"/>
    <s v="faktafakta, sumber, air, aqua, viral, diduga, sumur, bor, air, mineral, kemasan, aqua, sorotan, sumber, airnya, diduga, berasal, sumur, bor, konten, youtube, gubernur, jawa, barat, dedi, mulyadi, konten, pengelola, menyebut, sumber, air, aqua, tanah, air, permukaan, dedi, air, udara, permukaan, air, tanah, diambil, staf, perusahaan, air, diambil, tanah, dibor, muka, terkejut, dedi, udara, diambil, tanah, dibor, sumber, udara, berasal, udara, permukaan, danone, pastikan, sumber, air, terlindungi, manajemen, danone, indonesia, buka, suara, terkait, konten, dedi, mulyadi, keterangan, tertulisnya, danone, sumber, udara, pakai, berasal, sumber, udara, pegunungan, terlindungi, air, aqua, berasal, sumber, air, pegunungan, tersebar, indonesia, sumber, air, dipilih, proses, seleksi, ketat, melibatkan, kriteria, ilmiah, tahapan, evaluasi, minimal, penelitian, keterangan, danone, danone, mengakui, sumber, airnya, berasal, permukaan, akuifer, kedalaman, meter, akuifer, terlindungi, alami, lapisan, kedap, air, bebas, kontaminasi, aktivitas, manusia, mengganggu, penggunaan, air, masyarakat, danone, berita, cnnindonesiacom"/>
    <x v="0"/>
    <n v="0.72647124528884799"/>
  </r>
  <r>
    <x v="0"/>
    <s v="Tim SAR gabungan menemukan korban terseret ombak di Pantai Padang, dalam keadaan meninggal dunia pada Senin (20/10/2025) pagi. Korban bernama Mersel (17), seorang pelajar yang berdomisili di Kelurahan Berok Nipah, Kecamatan Padang Barat._x000a__x000a_Kepala Kantor Pencarian dan Pertolongan (Basarnas) Padang, Abdul Malik, dalam laporannya mengatakan bahwa korban ditemukan sekitar pukul 07.30 WIB, berjarak kurang lebih 100 meter dari lokasi awal dilaporkan hilang._x000a__x000a_â€œKorban atas nama Mersel berhasil ditemukan oleh tim SAR gabungan dalam keadaan meninggal dunia. Setelah dievakuasi, jen4zah langsung dibawa ke rumah duka,â€ katanya. _x000a__x000a_Ia mengatakan, operasi pencarian melibatkan empat Search and Rescue Unit (SRU) yang melakukan penyisiran di sektor-sektor berbeda. Unsur SAR gabungan yang terlibat terdiri dari Basarnas Padang, TNI, Polairud, BPBD, Damkar, Satpol PP, PMI, komunitas Jetski Seadoo, KSB Padang Barat, dan masyarakat sekitar._x000a__x000a_Adapun sejumlah peralatan yang digunakan antara lain RIB 02 Padang, RIB Satrol, LCR, jetski, drone thermal, Aqua Eye, serta perahu nelayan._x000a__x000a_Setelah korban ditemukan, dilakukan debriefing seluruh unsur gabungan, dan operasi dinyatakan selesai serta diusulkan ditutup pada pukul 08.05 WIB._x000a__x000a_Ia mengatakan, sebelumnya, operasi pencarian telah dilakukan sejak Minggu malam (19/10) setelah Basarnas menerima laporan dari Pusdalops BPBD Kota Padang pukul 18.15 WIB. _x000a__x000a_â€œMersel dilaporkan terseret ombak saat mandi di pantai usai bermain bola bersama teman-temannya,â€Â katanya._x000a_._x000a__x000a_._x000a__x000a_._x000a__x000a_Baca berita dan informasi menarik lainnya seputar Sumatera Barat hanya di www.sumbarkita.id atau sanak bisa klik link di bio._x000a__x000a_Jangan lupa tag sumbarkita.id jika ada informasi menarik dan peristiwa penting dan terkini._x000a_=================================_x000a_#sumbar #sumatrabarat #sumbarkita #peristiwa #breakingnews #tenggelam #pantaipadang"/>
    <s v="SUMBAR KITA"/>
    <s v="INSTAGRAM"/>
    <n v="2191"/>
    <n v="17"/>
    <n v="2208"/>
    <n v="4.3E-3"/>
    <n v="18061"/>
    <x v="34"/>
    <s v="https://www.instagram.com/reel/DQA1oS3ES4u/"/>
    <s v="tim sar gabungan menemukan korban terseret ombak pantai padang meninggal dunia senin pagi korban bernama mersel pelajar berdomisili kelurahan berok nipah kecamatan padang barat kepala kantor pencarian pertolongan basarnas padang abdul malik laporannya korban ditemukan wib berjarak meter lokasi dilaporkan hilang korban nama mersel berhasil ditemukan tim sar gabungan meninggal dunia dievakuasi jenzah langsung dibawa rumah duka operasi pencarian melibatkan search and rescue unit sru penyisiran sektorsektor berbeda unsur sar gabungan terlibat basarnas padang tni polairud bpbd damkar satpol pp pmi komunitas jetski seadoo ksb padang barat masyarakat peralatan rib padang rib satrol lcr jetski drone thermal aqua eye perahu nelayan korban ditemukan debriefing unsur gabungan operasi dinyatakan selesai diusulkan ditutup wib operasi pencarian minggu malam basarnas menerima laporan pusdalops bpbd kota padang wib mersel dilaporkan terseret ombak mandi pantai bermain bola temantemannya baca berita informasi menarik seputar sumatera barat wwwsumbarkitaid sanak klik link bio lupa tag sumbarkitaid informasi menarik peristiwa terkini"/>
    <s v="sumbar, sumatrabarat, sumbarkita, peristiwa, breakingnews, tenggelam, pantaipadang"/>
    <s v="tim, sar, gabungan, menemukan, korban, terseret, ombak, pantai, padang, meninggal, dunia, senin, pagi, korban, bernama, mersel, pelajar, berdomisili, kelurahan, berok, nipah, kecamatan, padang, barat, kepala, kantor, pencarian, pertolongan, basarnas, padang, abdul, malik, laporannya, korban, ditemukan, wib, berjarak, meter, lokasi, dilaporkan, hilang, korban, nama, mersel, berhasil, ditemukan, tim, sar, gabungan, meninggal, dunia, dievakuasi, jenzah, langsung, dibawa, rumah, duka, operasi, pencarian, melibatkan, search, and, rescue, unit, sru, penyisiran, sektorsektor, berbeda, unsur, sar, gabungan, terlibat, basarnas, padang, tni, polairud, bpbd, damkar, satpol, pp, pmi, komunitas, jetski, seadoo, ksb, padang, barat, masyarakat, peralatan, rib, padang, rib, satrol, lcr, jetski, drone, thermal, aqua, eye, perahu, nelayan, korban, ditemukan, debriefing, unsur, gabungan, operasi, dinyatakan, selesai, diusulkan, ditutup, wib, operasi, pencarian, minggu, malam, basarnas, menerima, laporan, pusdalops, bpbd, kota, padang, wib, mersel, dilaporkan, terseret, ombak, mandi, pantai, bermain, bola, temantemannya, baca, berita, informasi, menarik, seputar, sumatera, barat, wwwsumbarkitaid, sanak, klik, link, bio, lupa, tag, sumbarkitaid, informasi, menarik, peristiwa, terkini"/>
    <x v="0"/>
    <n v="0.98199284076690596"/>
  </r>
  <r>
    <x v="0"/>
    <s v="Fakta baru terungkap di balik tragedi ledakan kapal Federal II di galangan PT ASL Shipyard, Batam, yang menewaskan 13 pekerja. Dugaan kuat, tangki kapal belum menjalani tank cleaning sebelum pengelasan dilakukan. â€œItu masih kerak minyak, belum dibersihkan. Tapi bukannya disuruh stop kerja, malah disuruh standby air di botol Aqua,â€ ungkap salah satu pekerja tim Rotary._x000a__x000a_Diduga, pekerjaan hot work tetap dilakukan di area berisiko hingga memicu ledakan hebat pada Rabu (15/10/2025)pagi. Kasat Reskrim Polresta Barelang Kompol Debby Tri Andrestian menyebut pihaknya masih mendalami dugaan kelalaian. â€œKami kumpulkan semua informasi, termasuk kemungkinan belum dilakukan tank cleaning,â€ ujarnya. Kapolda Kepri Irjen Pol Asep Safrudin menegaskan, â€œJika terbukti ada kelalaian yang menyebabkan korban jiwa, akan kami proses sesuai hukum.â€_x000a__x000a_#batamnews #batam"/>
    <s v="Batamnews"/>
    <s v="INSTAGRAM"/>
    <n v="3746"/>
    <n v="141"/>
    <n v="3887"/>
    <n v="4.7000000000000002E-3"/>
    <n v="18043"/>
    <x v="76"/>
    <s v="https://www.instagram.com/reel/DQBeP-6gVaG/"/>
    <s v="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
    <s v="batamnews, batam"/>
    <s v="fakta, terungkap, tragedi, ledakan, kapal, federal, ii, galangan, pt, asl, shipyard, batam, menewaskan, pekerja, dugaan, kuat, tangki, kapal, menjalani, tank, cleaning, pengelasan, kerak, minyak, dibersihkan, disuruh, stop, kerja, disuruh, standby, air, botol, aqua, salah, pekerja, tim, rotary, diduga, pekerjaan, hot, work, area, berisiko, memicu, ledakan, hebat, rabu, pagi, kasat, reskrim, polresta, barelang, kompol, debby, tri, andrestian, menyebut, mendalami, dugaan, kelalaian, kumpulkan, informasi, tank, cleaning, kapolda, kepri, irjen, pol, asep, safrudin, terbukti, kelalaian, menyebabkan, korban, jiwa, proses, sesuai, hukum"/>
    <x v="0"/>
    <n v="0.93445414304733199"/>
  </r>
  <r>
    <x v="12"/>
    <s v="Hallo dari Biore UV! Siapa yang kesehariannya commuting tapi suka risih sama teriknya matahari? ?? _x000a__x000a_Tenang, ada Biore UV Aqua Rich yang bisa memberikan #HighProtectionLightTexture! _x000a__x000a_Kalo high protection sunscreen biasanya terasa berat, sunscreen ini justru ringan dan nyaman dipakai. Itâ€™s totally a high-level performance sunscreen that keeps you confident to shine under the spotlight. âœ¨ _x000a__x000a_#BiorÃ©UV #Sunscreen #StrayKids_x000a_#SKZ #SKZOO_x000a_#SUNLIGHTISYOURSPOTLIGHT"/>
    <s v="Biore Women Indonesia"/>
    <s v="INSTAGRAM"/>
    <n v="1926"/>
    <n v="25"/>
    <n v="1951"/>
    <n v="1.9199999999999998E-2"/>
    <n v="18030"/>
    <x v="73"/>
    <s v="https://www.instagram.com/p/DPkpaGyEeaG/"/>
    <s v="hallo biore uv kesehariannya commuting suka risih teriknya matahari tenang biore uv aqua rich kalo high protection sunscreen berat sunscreen ringan nyaman dipakai its totally a highlevel performance sunscreen that keeps you confident to shine under the spotlight"/>
    <s v="highprotectionlighttexture, biorÃ©uv, sunscreen, straykids, skz, skzoo, sunlightisyourspotlight"/>
    <s v="hallo, biore, uv, kesehariannya, commuting, suka, risih, teriknya, matahari, tenang, biore, uv, aqua, rich, kalo, high, protection, sunscreen, berat, sunscreen, ringan, nyaman, dipakai, its, totally, a, highlevel, performance, sunscreen, that, keeps, you, confident, to, shine, under, the, spotlight"/>
    <x v="1"/>
    <n v="0.99151152372360196"/>
  </r>
  <r>
    <x v="13"/>
    <s v="Seorang pelajar bernama Mersel (17) dilaporkan terseret arus laut saat mandi-mandi di pantai Padang, Minggu (19/10/2025)._x000a__x000a_Kantor Pencarian dan Pertolongan (KPP) Padang segera mengerahkan tim SAR guna melakukan pencarian dan pertolongan di lokasi kejadian._x000a__x000a_Menurut Abdul Malik, Kepala Kantor Pencarian dan Pertolongan (Kakansar) Padang, informasi awal diterima melalui Pusat Pengendalian Operasi Badan Penanggulangan Bencana Daerah (Pusdalops BPBD) Kota Padang pada pukul 18.15 WIB._x000a__x000a_Dijelaskannya, lokasi kejadian diperkirakan berada sekitar 16,9 kilometer dari kantor pusat SAR Padang dan sekitar 605 meter dari dermaga RIB 02._x000a__x000a_Tim SAR membawa sejumlah alat utama dan perlengkapan SAR (alut dan palsar) yang lengkap, meliputi rescue car, RIB 02, LCR, alat SAR air, peralatan medis, komunikasi, serta perangkat Aqua Eye untuk mempermudah pencarian di bawah air._x000a__x000a_Abdul Malik menjelaskan bahwa proses pencarian di lapangan menghadapi kendala signifikan. Saat ini kondisi cuaca kurang bersahabat dengan hujan deras disertai badai dan kecepatan angin mencapai 6 knot._x000a__x000a_Kakansar Padang juga menambahkan, bahwa korban merupakan seorang pelajar laki-laki yang tengah menikmati waktu mandi di pantai sebelum terseret ombak._x000a__x000a_Hingga saat ini, tim SAR masih terus melakukan pencarian dengan maksimal mengerahkan seluruh sumber daya yang ada."/>
    <s v="INFOSUMBAR MEDIA KREASI"/>
    <s v="INSTAGRAM"/>
    <n v="10214"/>
    <n v="138"/>
    <n v="10352"/>
    <n v="6.6E-3"/>
    <n v="17994"/>
    <x v="77"/>
    <s v="https://www.instagram.com/reel/DP_fIzxj4VJ/"/>
    <s v="pelajar bernama mersel dilaporkan terseret arus laut mandimandi pantai padang minggu kantor pencarian pertolongan kpp padang mengerahkan tim sar pencarian pertolongan lokasi kejadian abdul malik kepala kantor pencarian pertolongan kakansar padang informasi diterima pusat pengendalian operasi badan penanggulangan bencana daerah pusdalops bpbd kota padang wib lokasi kejadian kilometer kantor pusat sar padang meter dermaga rib tim sar membawa alat utama perlengkapan sar alut palsar lengkap meliputi rescue car rib lcr alat sar air peralatan medis komunikasi perangkat aqua eye mempermudah pencarian air abdul malik proses pencarian lapangan menghadapi kendala signifikan kondisi cuaca bersahabat hujan deras disertai badai kecepatan angin mencapai knot kakansar padang korban pelajar lakilaki menikmati mandi pantai terseret ombak tim sar pencarian maksimal mengerahkan sumber daya"/>
    <m/>
    <s v="pelajar, bernama, mersel, dilaporkan, terseret, arus, laut, mandimandi, pantai, padang, minggu, kantor, pencarian, pertolongan, kpp, padang, mengerahkan, tim, sar, pencarian, pertolongan, lokasi, kejadian, abdul, malik, kepala, kantor, pencarian, pertolongan, kakansar, padang, informasi, diterima, pusat, pengendalian, operasi, badan, penanggulangan, bencana, daerah, pusdalops, bpbd, kota, padang, wib, lokasi, kejadian, kilometer, kantor, pusat, sar, padang, meter, dermaga, rib, tim, sar, membawa, alat, utama, perlengkapan, sar, alut, palsar, lengkap, meliputi, rescue, car, rib, lcr, alat, sar, air, peralatan, medis, komunikasi, perangkat, aqua, eye, mempermudah, pencarian, air, abdul, malik, proses, pencarian, lapangan, menghadapi, kendala, signifikan, kondisi, cuaca, bersahabat, hujan, deras, disertai, badai, kecepatan, angin, mencapai, knot, kakansar, padang, korban, pelajar, lakilaki, menikmati, mandi, pantai, terseret, ombak, tim, sar, pencarian, maksimal, mengerahkan, sumber, daya"/>
    <x v="0"/>
    <n v="0.98076033592224099"/>
  </r>
  <r>
    <x v="13"/>
    <s v="Sekitar pukul 1 siang hari ini telah terjadi tumpahan oli di kawasan atau jalan Jombang raya pondok Pucung titik kenal depan gudang Aqua Tangsel ._x000a__x000a_yang mengakibatkan terjadinya terjatuhnya pengendara kendaraan roda dua ._x000a__x000a_â€œlaporan warga damkar kota Tangerang selatan merespon,dan menerjunkan 1 unit untuk menyemprotkan tumpahan oli di jalan sampai selesai pembersihan bersama REDKAR, BPDB , KARANG TARUNA PD ARENâ€ _x000a__x000a_Minggu 19 Oktober _x000a__x000a_Via : namaakuu28"/>
    <s v="Kabar Ciledug"/>
    <s v="INSTAGRAM"/>
    <n v="1274"/>
    <n v="13"/>
    <n v="1287"/>
    <n v="8.0999999999999996E-3"/>
    <n v="17923"/>
    <x v="78"/>
    <s v="https://www.instagram.com/reel/DP_A3E3Eoq8/"/>
    <s v="siang tumpahan oli kawasan jalan jombang raya pondok pucung titik kenal gudang aqua tangsel mengakibatkan terjatuhnya pengendara kendaraan roda laporan warga damkar kota tangerang selatan merespondan menerjunkan unit menyemprotkan tumpahan oli jalan selesai pembersihan redkar bpdb karang taruna pd aren minggu oktober via namaakuu"/>
    <m/>
    <s v="siang, tumpahan, oli, kawasan, jalan, jombang, raya, pondok, pucung, titik, kenal, gudang, aqua, tangsel, mengakibatkan, terjatuhnya, pengendara, kendaraan, roda, laporan, warga, damkar, kota, tangerang, selatan, merespondan, menerjunkan, unit, menyemprotkan, tumpahan, oli, jalan, selesai, pembersihan, redkar, bpdb, karang, taruna, pd, aren, minggu, oktober, via, namaakuu"/>
    <x v="0"/>
    <n v="0.97674357891082697"/>
  </r>
  <r>
    <x v="5"/>
    <s v="Kami mendengar dan menghargai setiap pertanyaan Anda._x000a__x000a_Karena itu, kami berupaya memberikan informasi dan edukasi yang akurat untuk menjawab berbagai kekhawatiran yang belakangan ini beredar._x000a__x000a_AQUA telah berdiri selama lebih dari lima dekade dan kami senantiasa berkomitmen untuk mengedepankan kualitas produk dan standar operasional kami._x000a__x000a_Semoga melalui video ini, berbagai misinformasi yang beredar dapat diluruskan dengan baik. _x000a__x000a_Sekali lagi terima kasih atas kepercayaan dan dukungan sahabat &amp; keluarga AQUA di mana pun Anda berada."/>
    <s v="Sehat AQUA"/>
    <s v="INSTAGRAM"/>
    <n v="3008"/>
    <n v="0"/>
    <n v="3008"/>
    <n v="1.17E-2"/>
    <n v="17906"/>
    <x v="21"/>
    <s v="https://www.instagram.com/reel/DQLf2Lakfq5/"/>
    <s v="mendengar menghargai berupaya informasi edukasi akurat kekhawatiran beredar aqua berdiri dekade senantiasa berkomitmen mengedepankan kualitas produk standar operasional semoga video misinformasi beredar diluruskan terima kasih kepercayaan dukungan sahabat keluarga aqua"/>
    <m/>
    <s v="mendengar, menghargai, berupaya, informasi, edukasi, akurat, kekhawatiran, beredar, aqua, berdiri, dekade, senantiasa, berkomitmen, mengedepankan, kualitas, produk, standar, operasional, semoga, video, misinformasi, beredar, diluruskan, terima, kasih, kepercayaan, dukungan, sahabat, keluarga, aqua"/>
    <x v="1"/>
    <n v="0.98674064874649003"/>
  </r>
  <r>
    <x v="5"/>
    <s v="Gubernur Jawa Barat kang Dedi Mulyadi atau KDM kembali menyambangi pabrik AQUA Subang dan sempat bercengkarama dengan para karyawan._x000a__x000a_Dirinya mengatakan tak ada niat menjelekan AQUA"/>
    <s v="Kota Subang"/>
    <s v="INSTAGRAM"/>
    <n v="1613"/>
    <n v="50"/>
    <n v="1663"/>
    <n v="1.38E-2"/>
    <n v="1791"/>
    <x v="79"/>
    <s v="https://www.instagram.com/reel/DQL9k2oCRUV/"/>
    <s v="gubernur jawa barat kang dedi mulyadi kdm menyambangi pabrik aqua subang bercengkarama karyawan niat menjelekan aqua"/>
    <m/>
    <s v="gubernur, jawa, barat, kang, dedi, mulyadi, kdm, menyambangi, pabrik, aqua, subang, bercengkarama, karyawan, niat, menjelekan, aqua"/>
    <x v="0"/>
    <n v="0.961313188076018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1297AB-4760-49CF-B4B6-F269AAA9F344}"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6">
    <pivotField axis="axisRow" numFmtId="164" showAll="0">
      <items count="17">
        <item x="12"/>
        <item x="6"/>
        <item x="8"/>
        <item x="14"/>
        <item x="3"/>
        <item x="15"/>
        <item x="9"/>
        <item x="13"/>
        <item x="0"/>
        <item x="11"/>
        <item x="1"/>
        <item x="2"/>
        <item x="5"/>
        <item x="10"/>
        <item x="4"/>
        <item x="7"/>
        <item t="default"/>
      </items>
    </pivotField>
    <pivotField showAll="0"/>
    <pivotField showAll="0"/>
    <pivotField showAll="0"/>
    <pivotField showAll="0"/>
    <pivotField showAll="0"/>
    <pivotField showAll="0"/>
    <pivotField numFmtId="10" showAll="0"/>
    <pivotField numFmtId="1" showAll="0"/>
    <pivotField dataField="1" numFmtId="1" showAll="0">
      <items count="81">
        <item x="0"/>
        <item x="6"/>
        <item x="5"/>
        <item x="4"/>
        <item x="3"/>
        <item x="9"/>
        <item x="2"/>
        <item x="7"/>
        <item x="8"/>
        <item x="1"/>
        <item x="35"/>
        <item x="15"/>
        <item x="41"/>
        <item x="40"/>
        <item x="33"/>
        <item x="21"/>
        <item x="42"/>
        <item x="77"/>
        <item x="62"/>
        <item x="29"/>
        <item x="69"/>
        <item x="68"/>
        <item x="71"/>
        <item x="72"/>
        <item x="78"/>
        <item x="38"/>
        <item x="79"/>
        <item x="49"/>
        <item x="20"/>
        <item x="70"/>
        <item x="16"/>
        <item x="67"/>
        <item x="61"/>
        <item x="44"/>
        <item x="22"/>
        <item x="75"/>
        <item x="60"/>
        <item x="74"/>
        <item x="37"/>
        <item x="36"/>
        <item x="14"/>
        <item x="65"/>
        <item x="56"/>
        <item x="24"/>
        <item x="76"/>
        <item x="59"/>
        <item x="18"/>
        <item x="31"/>
        <item x="64"/>
        <item x="12"/>
        <item x="54"/>
        <item x="58"/>
        <item x="50"/>
        <item x="47"/>
        <item x="11"/>
        <item x="28"/>
        <item x="25"/>
        <item x="39"/>
        <item x="32"/>
        <item x="73"/>
        <item x="51"/>
        <item x="48"/>
        <item x="19"/>
        <item x="45"/>
        <item x="10"/>
        <item x="30"/>
        <item x="53"/>
        <item x="13"/>
        <item x="46"/>
        <item x="26"/>
        <item x="63"/>
        <item x="55"/>
        <item x="57"/>
        <item x="23"/>
        <item x="43"/>
        <item x="34"/>
        <item x="66"/>
        <item x="27"/>
        <item x="17"/>
        <item x="52"/>
        <item t="default"/>
      </items>
    </pivotField>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Profile-ID"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50C86D-3FB7-435D-8140-96F970BD298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0" firstHeaderRow="1" firstDataRow="1" firstDataCol="1"/>
  <pivotFields count="16">
    <pivotField axis="axisRow" numFmtId="164" showAll="0">
      <items count="17">
        <item x="12"/>
        <item x="6"/>
        <item x="8"/>
        <item x="14"/>
        <item x="3"/>
        <item x="15"/>
        <item x="9"/>
        <item x="13"/>
        <item x="0"/>
        <item x="11"/>
        <item x="1"/>
        <item x="2"/>
        <item x="5"/>
        <item x="10"/>
        <item x="4"/>
        <item x="7"/>
        <item t="default"/>
      </items>
    </pivotField>
    <pivotField dataField="1" showAll="0"/>
    <pivotField showAll="0"/>
    <pivotField showAll="0"/>
    <pivotField showAll="0"/>
    <pivotField showAll="0"/>
    <pivotField showAll="0"/>
    <pivotField numFmtId="10" showAll="0"/>
    <pivotField numFmtId="1" showAll="0"/>
    <pivotField numFmtId="1" showAll="0"/>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Message"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A45A5F-A5C1-4568-8205-C783C9423C12}"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6">
    <pivotField numFmtId="14" showAll="0"/>
    <pivotField showAll="0"/>
    <pivotField showAll="0"/>
    <pivotField showAll="0"/>
    <pivotField showAll="0"/>
    <pivotField showAll="0"/>
    <pivotField showAll="0"/>
    <pivotField numFmtId="10" showAll="0"/>
    <pivotField numFmtId="1" showAll="0"/>
    <pivotField numFmtId="1" showAll="0"/>
    <pivotField showAll="0"/>
    <pivotField showAll="0"/>
    <pivotField showAll="0"/>
    <pivotField showAll="0"/>
    <pivotField axis="axisRow" dataField="1" showAll="0" sortType="ascending">
      <items count="4">
        <item x="2"/>
        <item x="0"/>
        <item x="1"/>
        <item t="default"/>
      </items>
    </pivotField>
    <pivotField showAll="0"/>
  </pivotFields>
  <rowFields count="1">
    <field x="14"/>
  </rowFields>
  <rowItems count="4">
    <i>
      <x/>
    </i>
    <i>
      <x v="1"/>
    </i>
    <i>
      <x v="2"/>
    </i>
    <i t="grand">
      <x/>
    </i>
  </rowItems>
  <colItems count="1">
    <i/>
  </colItems>
  <dataFields count="1">
    <dataField name="Count of sentimen" fld="1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D51A62-DC88-416F-AE98-2F7FC057E6E8}"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21" firstHeaderRow="1" firstDataRow="2" firstDataCol="1"/>
  <pivotFields count="16">
    <pivotField axis="axisRow" numFmtId="164" showAll="0">
      <items count="17">
        <item x="12"/>
        <item x="6"/>
        <item x="8"/>
        <item x="14"/>
        <item x="3"/>
        <item x="15"/>
        <item x="9"/>
        <item x="13"/>
        <item x="0"/>
        <item x="11"/>
        <item x="1"/>
        <item x="2"/>
        <item x="5"/>
        <item x="10"/>
        <item x="4"/>
        <item x="7"/>
        <item t="default"/>
      </items>
    </pivotField>
    <pivotField showAll="0"/>
    <pivotField showAll="0"/>
    <pivotField showAll="0"/>
    <pivotField showAll="0"/>
    <pivotField showAll="0"/>
    <pivotField showAll="0"/>
    <pivotField numFmtId="10" showAll="0"/>
    <pivotField numFmtId="1" showAll="0"/>
    <pivotField numFmtId="1" showAll="0"/>
    <pivotField showAll="0"/>
    <pivotField showAll="0"/>
    <pivotField showAll="0"/>
    <pivotField showAll="0"/>
    <pivotField axis="axisCol" dataField="1" showAll="0">
      <items count="4">
        <item x="2"/>
        <item x="0"/>
        <item x="1"/>
        <item t="default"/>
      </items>
    </pivotField>
    <pivotField showAll="0"/>
  </pivotFields>
  <rowFields count="1">
    <field x="0"/>
  </rowFields>
  <rowItems count="17">
    <i>
      <x/>
    </i>
    <i>
      <x v="1"/>
    </i>
    <i>
      <x v="2"/>
    </i>
    <i>
      <x v="3"/>
    </i>
    <i>
      <x v="4"/>
    </i>
    <i>
      <x v="5"/>
    </i>
    <i>
      <x v="6"/>
    </i>
    <i>
      <x v="7"/>
    </i>
    <i>
      <x v="8"/>
    </i>
    <i>
      <x v="9"/>
    </i>
    <i>
      <x v="10"/>
    </i>
    <i>
      <x v="11"/>
    </i>
    <i>
      <x v="12"/>
    </i>
    <i>
      <x v="13"/>
    </i>
    <i>
      <x v="14"/>
    </i>
    <i>
      <x v="15"/>
    </i>
    <i t="grand">
      <x/>
    </i>
  </rowItems>
  <colFields count="1">
    <field x="14"/>
  </colFields>
  <colItems count="4">
    <i>
      <x/>
    </i>
    <i>
      <x v="1"/>
    </i>
    <i>
      <x v="2"/>
    </i>
    <i t="grand">
      <x/>
    </i>
  </colItems>
  <dataFields count="1">
    <dataField name="Count of sentimen" fld="14" subtotal="count" baseField="0" baseItem="0"/>
  </dataField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4BF215-AB33-4C3F-BB9F-AFB18E30D3F5}" name="Table1" displayName="Table1" ref="A1:Q109" totalsRowCount="1" headerRowDxfId="35" dataDxfId="34">
  <autoFilter ref="A1:Q108" xr:uid="{C74BF215-AB33-4C3F-BB9F-AFB18E30D3F5}"/>
  <sortState xmlns:xlrd2="http://schemas.microsoft.com/office/spreadsheetml/2017/richdata2" ref="A2:Q108">
    <sortCondition ref="A1:A108"/>
  </sortState>
  <tableColumns count="17">
    <tableColumn id="1" xr3:uid="{6DE6D11C-354C-497A-8B92-2DEF1188BB84}" name="Date" totalsRowLabel="Total" dataDxfId="33" totalsRowDxfId="16"/>
    <tableColumn id="2" xr3:uid="{CC4811AE-9985-4CCD-B0E5-24AAEC721013}" name="Message" dataDxfId="32" totalsRowDxfId="15"/>
    <tableColumn id="3" xr3:uid="{E7ADCB9F-561E-46B7-AABF-3E0930214B1F}" name="Profile" totalsRowFunction="custom" dataDxfId="31" totalsRowDxfId="14">
      <totalsRowFormula array="1">SUM(1/COUNTIF(Table1[Profile],Table1[Profile]))</totalsRowFormula>
    </tableColumn>
    <tableColumn id="4" xr3:uid="{99828654-FF13-4E03-B74A-253582B4C45F}" name="Network" dataDxfId="30" totalsRowDxfId="13"/>
    <tableColumn id="5" xr3:uid="{25227F04-FDDF-466E-AFAA-0905BD898A79}" name="Like" dataDxfId="29" totalsRowDxfId="12"/>
    <tableColumn id="6" xr3:uid="{33218C0E-A68A-4C13-9D76-3DB09C4079CD}" name="comment" dataDxfId="28" totalsRowDxfId="11"/>
    <tableColumn id="7" xr3:uid="{7E0FDE3C-4692-46C1-A846-500C7A70AD2F}" name="Shares" dataDxfId="27" totalsRowDxfId="10"/>
    <tableColumn id="17" xr3:uid="{F7B969F8-8323-4DA9-BE4A-9874AB46CC29}" name="Engagement" totalsRowFunction="sum" dataDxfId="26" totalsRowDxfId="9">
      <calculatedColumnFormula>SUM(Table1[[#This Row],[Like]:[Shares]])</calculatedColumnFormula>
    </tableColumn>
    <tableColumn id="8" xr3:uid="{F839770F-609E-4997-9AF1-3C8691E99982}" name="interaction rate" dataDxfId="25" totalsRowDxfId="8"/>
    <tableColumn id="9" xr3:uid="{10CE4C13-CE15-4D2B-B450-ED284D36FB6B}" name="Message-ID" dataDxfId="24" totalsRowDxfId="7"/>
    <tableColumn id="10" xr3:uid="{123E5262-9CA9-4D8B-BE30-20101C719D07}" name="Profile-ID" totalsRowFunction="custom" dataDxfId="23" totalsRowDxfId="6">
      <totalsRowFormula array="1">SUM(1/COUNTIF(Table1[Profile],Table1[Profile]))</totalsRowFormula>
    </tableColumn>
    <tableColumn id="11" xr3:uid="{FCBEEF9D-B090-41E1-9D3E-4CD54615A18C}" name="Link" dataDxfId="22" totalsRowDxfId="5"/>
    <tableColumn id="12" xr3:uid="{9D7F89F0-38A6-4169-AC5B-6A9C5ADDE8BB}" name="messege_processed" dataDxfId="21" totalsRowDxfId="4"/>
    <tableColumn id="13" xr3:uid="{846A3051-54D4-44C1-99FF-DF16C9022E7D}" name="hashtags" dataDxfId="20" totalsRowDxfId="3"/>
    <tableColumn id="14" xr3:uid="{35CC2074-E634-4887-8A4D-0AC6BEC844DA}" name="tokens" dataDxfId="19" totalsRowDxfId="2"/>
    <tableColumn id="15" xr3:uid="{8712EC0D-3C99-4E1F-8D16-CC17E0CB6FC8}" name="sentimen" dataDxfId="18" totalsRowDxfId="1"/>
    <tableColumn id="16" xr3:uid="{B26AF5BB-9281-471C-AE83-28B201F90202}" name="sentimen_score" totalsRowFunction="sum" dataDxfId="17"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68D0-04D2-462B-A32A-3EA93EAB213F}">
  <dimension ref="A1:P108"/>
  <sheetViews>
    <sheetView workbookViewId="0">
      <selection activeCell="D11" sqref="D11"/>
    </sheetView>
  </sheetViews>
  <sheetFormatPr defaultRowHeight="14.4" x14ac:dyDescent="0.3"/>
  <cols>
    <col min="1" max="1" width="10.5546875" bestFit="1" customWidth="1"/>
  </cols>
  <sheetData>
    <row r="1" spans="1:16"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x14ac:dyDescent="0.3">
      <c r="A2" s="7">
        <v>45952</v>
      </c>
      <c r="B2" s="6" t="s">
        <v>16</v>
      </c>
      <c r="C2" s="6" t="s">
        <v>17</v>
      </c>
      <c r="D2" s="6" t="s">
        <v>18</v>
      </c>
      <c r="E2" s="6">
        <v>93062</v>
      </c>
      <c r="F2" s="6">
        <v>8861</v>
      </c>
      <c r="G2" s="6">
        <v>101923</v>
      </c>
      <c r="H2" s="8">
        <v>1.0730999999999999</v>
      </c>
      <c r="I2" s="9">
        <v>1.80316E+16</v>
      </c>
      <c r="J2" s="6">
        <v>2251720016</v>
      </c>
      <c r="K2" s="6" t="s">
        <v>19</v>
      </c>
      <c r="L2" s="6" t="s">
        <v>20</v>
      </c>
      <c r="M2" s="6" t="s">
        <v>21</v>
      </c>
      <c r="N2" s="6" t="s">
        <v>22</v>
      </c>
      <c r="O2" s="6" t="s">
        <v>23</v>
      </c>
      <c r="P2" s="6">
        <v>0.69136929512023904</v>
      </c>
    </row>
    <row r="3" spans="1:16" x14ac:dyDescent="0.3">
      <c r="A3" s="7">
        <v>45952</v>
      </c>
      <c r="B3" s="6" t="s">
        <v>24</v>
      </c>
      <c r="C3" s="6" t="s">
        <v>25</v>
      </c>
      <c r="D3" s="6" t="s">
        <v>18</v>
      </c>
      <c r="E3" s="6">
        <v>73650</v>
      </c>
      <c r="F3" s="6">
        <v>8222</v>
      </c>
      <c r="G3" s="6">
        <v>81872</v>
      </c>
      <c r="H3" s="8">
        <v>3.5299999999999998E-2</v>
      </c>
      <c r="I3" s="9">
        <v>1.83771E+16</v>
      </c>
      <c r="J3" s="6">
        <v>1549997496</v>
      </c>
      <c r="K3" s="6" t="s">
        <v>26</v>
      </c>
      <c r="L3" s="6" t="s">
        <v>27</v>
      </c>
      <c r="M3" s="6" t="s">
        <v>28</v>
      </c>
      <c r="N3" s="6" t="s">
        <v>29</v>
      </c>
      <c r="O3" s="6" t="s">
        <v>23</v>
      </c>
      <c r="P3" s="6">
        <v>0.94934821128845204</v>
      </c>
    </row>
    <row r="4" spans="1:16" x14ac:dyDescent="0.3">
      <c r="A4" s="7">
        <v>45952</v>
      </c>
      <c r="B4" s="6" t="s">
        <v>30</v>
      </c>
      <c r="C4" s="6" t="s">
        <v>31</v>
      </c>
      <c r="D4" s="6" t="s">
        <v>18</v>
      </c>
      <c r="E4" s="6">
        <v>34050</v>
      </c>
      <c r="F4" s="6">
        <v>3562</v>
      </c>
      <c r="G4" s="6">
        <v>37612</v>
      </c>
      <c r="H4" s="8">
        <v>0.15890000000000001</v>
      </c>
      <c r="I4" s="9">
        <v>1.81429E+16</v>
      </c>
      <c r="J4" s="6">
        <v>4016232725</v>
      </c>
      <c r="K4" s="6" t="s">
        <v>32</v>
      </c>
      <c r="L4" s="6" t="s">
        <v>33</v>
      </c>
      <c r="M4" s="6" t="s">
        <v>21</v>
      </c>
      <c r="N4" s="6" t="s">
        <v>34</v>
      </c>
      <c r="O4" s="6" t="s">
        <v>23</v>
      </c>
      <c r="P4" s="6">
        <v>0.70075243711471502</v>
      </c>
    </row>
    <row r="5" spans="1:16" x14ac:dyDescent="0.3">
      <c r="A5" s="7">
        <v>45953</v>
      </c>
      <c r="B5" s="6" t="s">
        <v>35</v>
      </c>
      <c r="C5" s="6" t="s">
        <v>36</v>
      </c>
      <c r="D5" s="6" t="s">
        <v>18</v>
      </c>
      <c r="E5" s="6">
        <v>30483</v>
      </c>
      <c r="F5" s="6">
        <v>750</v>
      </c>
      <c r="G5" s="6">
        <v>31233</v>
      </c>
      <c r="H5" s="8">
        <v>1.3899999999999999E-2</v>
      </c>
      <c r="I5" s="9">
        <v>1.79279E+16</v>
      </c>
      <c r="J5" s="6">
        <v>1928580710</v>
      </c>
      <c r="K5" s="6" t="s">
        <v>37</v>
      </c>
      <c r="L5" s="6" t="s">
        <v>38</v>
      </c>
      <c r="M5" s="6" t="s">
        <v>21</v>
      </c>
      <c r="N5" s="6" t="s">
        <v>39</v>
      </c>
      <c r="O5" s="6" t="s">
        <v>23</v>
      </c>
      <c r="P5" s="6">
        <v>0.83750879764556796</v>
      </c>
    </row>
    <row r="6" spans="1:16" x14ac:dyDescent="0.3">
      <c r="A6" s="7">
        <v>45953</v>
      </c>
      <c r="B6" s="6" t="s">
        <v>40</v>
      </c>
      <c r="C6" s="6" t="s">
        <v>41</v>
      </c>
      <c r="D6" s="6" t="s">
        <v>18</v>
      </c>
      <c r="E6" s="6">
        <v>27087</v>
      </c>
      <c r="F6" s="6">
        <v>1560</v>
      </c>
      <c r="G6" s="6">
        <v>28647</v>
      </c>
      <c r="H6" s="8">
        <v>0.19900000000000001</v>
      </c>
      <c r="I6" s="9">
        <v>1.81724E+16</v>
      </c>
      <c r="J6" s="6">
        <v>9890672501</v>
      </c>
      <c r="K6" s="6" t="s">
        <v>42</v>
      </c>
      <c r="L6" s="6" t="s">
        <v>43</v>
      </c>
      <c r="M6" s="6" t="s">
        <v>21</v>
      </c>
      <c r="N6" s="6" t="s">
        <v>44</v>
      </c>
      <c r="O6" s="6" t="s">
        <v>45</v>
      </c>
      <c r="P6" s="6">
        <v>0.903423011302948</v>
      </c>
    </row>
    <row r="7" spans="1:16" x14ac:dyDescent="0.3">
      <c r="A7" s="7">
        <v>45952</v>
      </c>
      <c r="B7" s="6" t="s">
        <v>46</v>
      </c>
      <c r="C7" s="6" t="s">
        <v>47</v>
      </c>
      <c r="D7" s="6" t="s">
        <v>18</v>
      </c>
      <c r="E7" s="6">
        <v>22398</v>
      </c>
      <c r="F7" s="6">
        <v>5534</v>
      </c>
      <c r="G7" s="6">
        <v>27932</v>
      </c>
      <c r="H7" s="8">
        <v>1.83E-2</v>
      </c>
      <c r="I7" s="9">
        <v>1.80555E+16</v>
      </c>
      <c r="J7" s="6">
        <v>1452762375</v>
      </c>
      <c r="K7" s="6" t="s">
        <v>48</v>
      </c>
      <c r="L7" s="6" t="s">
        <v>49</v>
      </c>
      <c r="M7" s="6" t="s">
        <v>50</v>
      </c>
      <c r="N7" s="6" t="s">
        <v>51</v>
      </c>
      <c r="O7" s="6" t="s">
        <v>23</v>
      </c>
      <c r="P7" s="6">
        <v>0.97607123851776101</v>
      </c>
    </row>
    <row r="8" spans="1:16" x14ac:dyDescent="0.3">
      <c r="A8" s="7">
        <v>45952</v>
      </c>
      <c r="B8" s="6" t="s">
        <v>52</v>
      </c>
      <c r="C8" s="6" t="s">
        <v>53</v>
      </c>
      <c r="D8" s="6" t="s">
        <v>54</v>
      </c>
      <c r="E8" s="6">
        <v>9123</v>
      </c>
      <c r="F8" s="6">
        <v>8556</v>
      </c>
      <c r="G8" s="6">
        <v>20789</v>
      </c>
      <c r="H8" s="8">
        <v>5.8999999999999999E-3</v>
      </c>
      <c r="I8" s="6" t="s">
        <v>55</v>
      </c>
      <c r="J8" s="6">
        <v>284251000000000</v>
      </c>
      <c r="K8" s="6" t="s">
        <v>56</v>
      </c>
      <c r="L8" s="6" t="s">
        <v>49</v>
      </c>
      <c r="M8" s="6" t="s">
        <v>50</v>
      </c>
      <c r="N8" s="6" t="s">
        <v>51</v>
      </c>
      <c r="O8" s="6" t="s">
        <v>23</v>
      </c>
      <c r="P8" s="6">
        <v>0.97607123851776101</v>
      </c>
    </row>
    <row r="9" spans="1:16" x14ac:dyDescent="0.3">
      <c r="A9" s="7">
        <v>45953</v>
      </c>
      <c r="B9" s="6" t="s">
        <v>57</v>
      </c>
      <c r="C9" s="6" t="s">
        <v>41</v>
      </c>
      <c r="D9" s="6" t="s">
        <v>18</v>
      </c>
      <c r="E9" s="6">
        <v>12082</v>
      </c>
      <c r="F9" s="6">
        <v>1992</v>
      </c>
      <c r="G9" s="6">
        <v>14074</v>
      </c>
      <c r="H9" s="8">
        <v>9.7799999999999998E-2</v>
      </c>
      <c r="I9" s="9">
        <v>1.81185E+16</v>
      </c>
      <c r="J9" s="6">
        <v>9890672501</v>
      </c>
      <c r="K9" s="6" t="s">
        <v>58</v>
      </c>
      <c r="L9" s="6" t="s">
        <v>59</v>
      </c>
      <c r="M9" s="6" t="s">
        <v>21</v>
      </c>
      <c r="N9" s="6" t="s">
        <v>60</v>
      </c>
      <c r="O9" s="6" t="s">
        <v>23</v>
      </c>
      <c r="P9" s="6">
        <v>0.49398022890090898</v>
      </c>
    </row>
    <row r="10" spans="1:16" x14ac:dyDescent="0.3">
      <c r="A10" s="7">
        <v>45953</v>
      </c>
      <c r="B10" s="6" t="s">
        <v>61</v>
      </c>
      <c r="C10" s="6" t="s">
        <v>62</v>
      </c>
      <c r="D10" s="6" t="s">
        <v>18</v>
      </c>
      <c r="E10" s="6">
        <v>11252</v>
      </c>
      <c r="F10" s="6">
        <v>2694</v>
      </c>
      <c r="G10" s="6">
        <v>13946</v>
      </c>
      <c r="H10" s="8">
        <v>5.5899999999999998E-2</v>
      </c>
      <c r="I10" s="9">
        <v>1.80787E+16</v>
      </c>
      <c r="J10" s="6">
        <v>39258075527</v>
      </c>
      <c r="K10" s="6" t="s">
        <v>63</v>
      </c>
      <c r="L10" s="6" t="s">
        <v>64</v>
      </c>
      <c r="M10" s="6" t="s">
        <v>21</v>
      </c>
      <c r="N10" s="6" t="s">
        <v>65</v>
      </c>
      <c r="O10" s="6" t="s">
        <v>23</v>
      </c>
      <c r="P10" s="6">
        <v>0.96157914400100697</v>
      </c>
    </row>
    <row r="11" spans="1:16" x14ac:dyDescent="0.3">
      <c r="A11" s="7">
        <v>45952</v>
      </c>
      <c r="B11" s="6" t="s">
        <v>66</v>
      </c>
      <c r="C11" s="6" t="s">
        <v>67</v>
      </c>
      <c r="D11" s="6" t="s">
        <v>54</v>
      </c>
      <c r="E11" s="6">
        <v>7812</v>
      </c>
      <c r="F11" s="6">
        <v>2896</v>
      </c>
      <c r="G11" s="6">
        <v>13540</v>
      </c>
      <c r="H11" s="8">
        <v>3.0999999999999999E-3</v>
      </c>
      <c r="I11" s="6" t="s">
        <v>68</v>
      </c>
      <c r="J11" s="6">
        <v>636794000000000</v>
      </c>
      <c r="K11" s="6" t="s">
        <v>69</v>
      </c>
      <c r="L11" s="6" t="s">
        <v>70</v>
      </c>
      <c r="M11" s="6" t="s">
        <v>21</v>
      </c>
      <c r="N11" s="6" t="s">
        <v>71</v>
      </c>
      <c r="O11" s="6" t="s">
        <v>23</v>
      </c>
      <c r="P11" s="6">
        <v>0.68258643150329501</v>
      </c>
    </row>
    <row r="12" spans="1:16" x14ac:dyDescent="0.3">
      <c r="A12" s="7">
        <v>45953</v>
      </c>
      <c r="B12" s="6" t="s">
        <v>72</v>
      </c>
      <c r="C12" s="6" t="s">
        <v>73</v>
      </c>
      <c r="D12" s="6" t="s">
        <v>18</v>
      </c>
      <c r="E12" s="6">
        <v>11646</v>
      </c>
      <c r="F12" s="6">
        <v>880</v>
      </c>
      <c r="G12" s="6">
        <v>12526</v>
      </c>
      <c r="H12" s="8">
        <v>1.1900000000000001E-2</v>
      </c>
      <c r="I12" s="9">
        <v>1.83259E+16</v>
      </c>
      <c r="J12" s="6">
        <v>5670664069</v>
      </c>
      <c r="K12" s="6" t="s">
        <v>74</v>
      </c>
      <c r="L12" s="6" t="s">
        <v>75</v>
      </c>
      <c r="M12" s="6" t="s">
        <v>21</v>
      </c>
      <c r="N12" s="6" t="s">
        <v>76</v>
      </c>
      <c r="O12" s="6" t="s">
        <v>77</v>
      </c>
      <c r="P12" s="6">
        <v>0.98855572938919001</v>
      </c>
    </row>
    <row r="13" spans="1:16" x14ac:dyDescent="0.3">
      <c r="A13" s="7">
        <v>45953</v>
      </c>
      <c r="B13" s="6" t="s">
        <v>78</v>
      </c>
      <c r="C13" s="6" t="s">
        <v>79</v>
      </c>
      <c r="D13" s="6" t="s">
        <v>18</v>
      </c>
      <c r="E13" s="6">
        <v>11778</v>
      </c>
      <c r="F13" s="6">
        <v>614</v>
      </c>
      <c r="G13" s="6">
        <v>12392</v>
      </c>
      <c r="H13" s="8">
        <v>8.8000000000000005E-3</v>
      </c>
      <c r="I13" s="9">
        <v>1.85322E+16</v>
      </c>
      <c r="J13" s="6">
        <v>3160886212</v>
      </c>
      <c r="K13" s="6" t="s">
        <v>80</v>
      </c>
      <c r="L13" s="6" t="s">
        <v>81</v>
      </c>
      <c r="M13" s="6" t="s">
        <v>82</v>
      </c>
      <c r="N13" s="6" t="s">
        <v>83</v>
      </c>
      <c r="O13" s="6" t="s">
        <v>23</v>
      </c>
      <c r="P13" s="6">
        <v>0.96001434326171797</v>
      </c>
    </row>
    <row r="14" spans="1:16" x14ac:dyDescent="0.3">
      <c r="A14" s="7">
        <v>45953</v>
      </c>
      <c r="B14" s="6" t="s">
        <v>84</v>
      </c>
      <c r="C14" s="6" t="s">
        <v>67</v>
      </c>
      <c r="D14" s="6" t="s">
        <v>54</v>
      </c>
      <c r="E14" s="6">
        <v>5950</v>
      </c>
      <c r="F14" s="6">
        <v>3491</v>
      </c>
      <c r="G14" s="6">
        <v>11765</v>
      </c>
      <c r="H14" s="8">
        <v>2.7000000000000001E-3</v>
      </c>
      <c r="I14" s="6" t="s">
        <v>85</v>
      </c>
      <c r="J14" s="6">
        <v>636794000000000</v>
      </c>
      <c r="K14" s="6" t="s">
        <v>86</v>
      </c>
      <c r="L14" s="6" t="s">
        <v>87</v>
      </c>
      <c r="M14" s="6" t="s">
        <v>21</v>
      </c>
      <c r="N14" s="6" t="s">
        <v>88</v>
      </c>
      <c r="O14" s="6" t="s">
        <v>23</v>
      </c>
      <c r="P14" s="6">
        <v>0.53177744150161699</v>
      </c>
    </row>
    <row r="15" spans="1:16" x14ac:dyDescent="0.3">
      <c r="A15" s="7">
        <v>45949</v>
      </c>
      <c r="B15" s="6" t="s">
        <v>89</v>
      </c>
      <c r="C15" s="6" t="s">
        <v>90</v>
      </c>
      <c r="D15" s="6" t="s">
        <v>18</v>
      </c>
      <c r="E15" s="6">
        <v>10214</v>
      </c>
      <c r="F15" s="6">
        <v>138</v>
      </c>
      <c r="G15" s="6">
        <v>10352</v>
      </c>
      <c r="H15" s="8">
        <v>6.6E-3</v>
      </c>
      <c r="I15" s="9">
        <v>1.7994E+16</v>
      </c>
      <c r="J15" s="6">
        <v>220578820</v>
      </c>
      <c r="K15" s="6" t="s">
        <v>91</v>
      </c>
      <c r="L15" s="6" t="s">
        <v>92</v>
      </c>
      <c r="M15" s="6" t="s">
        <v>21</v>
      </c>
      <c r="N15" s="6" t="s">
        <v>93</v>
      </c>
      <c r="O15" s="6" t="s">
        <v>23</v>
      </c>
      <c r="P15" s="6">
        <v>0.98076033592224099</v>
      </c>
    </row>
    <row r="16" spans="1:16" x14ac:dyDescent="0.3">
      <c r="A16" s="7">
        <v>45952</v>
      </c>
      <c r="B16" s="6" t="s">
        <v>94</v>
      </c>
      <c r="C16" s="6" t="s">
        <v>95</v>
      </c>
      <c r="D16" s="6" t="s">
        <v>18</v>
      </c>
      <c r="E16" s="6">
        <v>8123</v>
      </c>
      <c r="F16" s="6">
        <v>914</v>
      </c>
      <c r="G16" s="6">
        <v>9037</v>
      </c>
      <c r="H16" s="8">
        <v>4.0399999999999998E-2</v>
      </c>
      <c r="I16" s="9">
        <v>1.79025E+16</v>
      </c>
      <c r="J16" s="6">
        <v>13379255860</v>
      </c>
      <c r="K16" s="6" t="s">
        <v>96</v>
      </c>
      <c r="L16" s="6" t="s">
        <v>97</v>
      </c>
      <c r="M16" s="6" t="s">
        <v>98</v>
      </c>
      <c r="N16" s="6" t="s">
        <v>99</v>
      </c>
      <c r="O16" s="6" t="s">
        <v>23</v>
      </c>
      <c r="P16" s="6">
        <v>0.92661803960800104</v>
      </c>
    </row>
    <row r="17" spans="1:16" x14ac:dyDescent="0.3">
      <c r="A17" s="7">
        <v>45942</v>
      </c>
      <c r="B17" s="6" t="s">
        <v>100</v>
      </c>
      <c r="C17" s="6" t="s">
        <v>101</v>
      </c>
      <c r="D17" s="6" t="s">
        <v>18</v>
      </c>
      <c r="E17" s="6">
        <v>8948</v>
      </c>
      <c r="F17" s="6">
        <v>75</v>
      </c>
      <c r="G17" s="6">
        <v>9023</v>
      </c>
      <c r="H17" s="8">
        <v>3.0000000000000001E-3</v>
      </c>
      <c r="I17" s="9">
        <v>1.82946E+16</v>
      </c>
      <c r="J17" s="6">
        <v>1460730189</v>
      </c>
      <c r="K17" s="6" t="s">
        <v>102</v>
      </c>
      <c r="L17" s="6" t="s">
        <v>103</v>
      </c>
      <c r="M17" s="6" t="s">
        <v>104</v>
      </c>
      <c r="N17" s="6" t="s">
        <v>105</v>
      </c>
      <c r="O17" s="6" t="s">
        <v>23</v>
      </c>
      <c r="P17" s="6">
        <v>0.874506175518035</v>
      </c>
    </row>
    <row r="18" spans="1:16" x14ac:dyDescent="0.3">
      <c r="A18" s="7">
        <v>45952</v>
      </c>
      <c r="B18" s="6" t="s">
        <v>106</v>
      </c>
      <c r="C18" s="6" t="s">
        <v>107</v>
      </c>
      <c r="D18" s="6" t="s">
        <v>18</v>
      </c>
      <c r="E18" s="6">
        <v>8025</v>
      </c>
      <c r="F18" s="6">
        <v>668</v>
      </c>
      <c r="G18" s="6">
        <v>8693</v>
      </c>
      <c r="H18" s="8">
        <v>0.15509999999999999</v>
      </c>
      <c r="I18" s="9">
        <v>1.80281E+16</v>
      </c>
      <c r="J18" s="6">
        <v>8414183373</v>
      </c>
      <c r="K18" s="6" t="s">
        <v>108</v>
      </c>
      <c r="L18" s="6" t="s">
        <v>109</v>
      </c>
      <c r="M18" s="6" t="s">
        <v>21</v>
      </c>
      <c r="N18" s="6" t="s">
        <v>110</v>
      </c>
      <c r="O18" s="6" t="s">
        <v>23</v>
      </c>
      <c r="P18" s="6">
        <v>0.73349171876907304</v>
      </c>
    </row>
    <row r="19" spans="1:16" x14ac:dyDescent="0.3">
      <c r="A19" s="7">
        <v>45950</v>
      </c>
      <c r="B19" s="6" t="s">
        <v>111</v>
      </c>
      <c r="C19" s="6" t="s">
        <v>112</v>
      </c>
      <c r="D19" s="6" t="s">
        <v>18</v>
      </c>
      <c r="E19" s="6">
        <v>7746</v>
      </c>
      <c r="F19" s="6">
        <v>405</v>
      </c>
      <c r="G19" s="6">
        <v>8151</v>
      </c>
      <c r="H19" s="8">
        <v>3.0200000000000001E-2</v>
      </c>
      <c r="I19" s="9">
        <v>1.82434E+16</v>
      </c>
      <c r="J19" s="6">
        <v>1780951078</v>
      </c>
      <c r="K19" s="6" t="s">
        <v>113</v>
      </c>
      <c r="L19" s="6" t="s">
        <v>114</v>
      </c>
      <c r="M19" s="6" t="s">
        <v>115</v>
      </c>
      <c r="N19" s="6" t="s">
        <v>116</v>
      </c>
      <c r="O19" s="6" t="s">
        <v>23</v>
      </c>
      <c r="P19" s="6">
        <v>0.98296689987182595</v>
      </c>
    </row>
    <row r="20" spans="1:16" x14ac:dyDescent="0.3">
      <c r="A20" s="7">
        <v>45952</v>
      </c>
      <c r="B20" s="6" t="s">
        <v>117</v>
      </c>
      <c r="C20" s="6" t="s">
        <v>118</v>
      </c>
      <c r="D20" s="6" t="s">
        <v>18</v>
      </c>
      <c r="E20" s="6">
        <v>7554</v>
      </c>
      <c r="F20" s="6">
        <v>387</v>
      </c>
      <c r="G20" s="6">
        <v>7941</v>
      </c>
      <c r="H20" s="8">
        <v>1.2999999999999999E-2</v>
      </c>
      <c r="I20" s="9">
        <v>1.85333E+16</v>
      </c>
      <c r="J20" s="6">
        <v>3735465740</v>
      </c>
      <c r="K20" s="6" t="s">
        <v>119</v>
      </c>
      <c r="L20" s="6" t="s">
        <v>120</v>
      </c>
      <c r="M20" s="6" t="s">
        <v>121</v>
      </c>
      <c r="N20" s="6" t="s">
        <v>122</v>
      </c>
      <c r="O20" s="6" t="s">
        <v>77</v>
      </c>
      <c r="P20" s="6">
        <v>0.84054034948348999</v>
      </c>
    </row>
    <row r="21" spans="1:16" x14ac:dyDescent="0.3">
      <c r="A21" s="7">
        <v>45952</v>
      </c>
      <c r="B21" s="6" t="s">
        <v>123</v>
      </c>
      <c r="C21" s="6" t="s">
        <v>124</v>
      </c>
      <c r="D21" s="6" t="s">
        <v>18</v>
      </c>
      <c r="E21" s="6">
        <v>6576</v>
      </c>
      <c r="F21" s="6">
        <v>705</v>
      </c>
      <c r="G21" s="6">
        <v>7281</v>
      </c>
      <c r="H21" s="8">
        <v>2.6599999999999999E-2</v>
      </c>
      <c r="I21" s="9">
        <v>1.80832E+16</v>
      </c>
      <c r="J21" s="6">
        <v>4781473600</v>
      </c>
      <c r="K21" s="6" t="s">
        <v>125</v>
      </c>
      <c r="L21" s="6" t="s">
        <v>126</v>
      </c>
      <c r="M21" s="6" t="s">
        <v>127</v>
      </c>
      <c r="N21" s="6" t="s">
        <v>128</v>
      </c>
      <c r="O21" s="6" t="s">
        <v>23</v>
      </c>
      <c r="P21" s="6">
        <v>0.89651805162429798</v>
      </c>
    </row>
    <row r="22" spans="1:16" x14ac:dyDescent="0.3">
      <c r="A22" s="7">
        <v>45955</v>
      </c>
      <c r="B22" s="6" t="s">
        <v>129</v>
      </c>
      <c r="C22" s="6" t="s">
        <v>130</v>
      </c>
      <c r="D22" s="6" t="s">
        <v>18</v>
      </c>
      <c r="E22" s="6">
        <v>6007</v>
      </c>
      <c r="F22" s="6">
        <v>153</v>
      </c>
      <c r="G22" s="6">
        <v>6160</v>
      </c>
      <c r="H22" s="8">
        <v>1.4E-3</v>
      </c>
      <c r="I22" s="9">
        <v>1.81057E+16</v>
      </c>
      <c r="J22" s="6">
        <v>181380634</v>
      </c>
      <c r="K22" s="6" t="s">
        <v>131</v>
      </c>
      <c r="L22" s="6" t="s">
        <v>132</v>
      </c>
      <c r="M22" s="6" t="s">
        <v>21</v>
      </c>
      <c r="N22" s="6" t="s">
        <v>133</v>
      </c>
      <c r="O22" s="6" t="s">
        <v>45</v>
      </c>
      <c r="P22" s="6">
        <v>0.996113061904907</v>
      </c>
    </row>
    <row r="23" spans="1:16" x14ac:dyDescent="0.3">
      <c r="A23" s="7">
        <v>45953</v>
      </c>
      <c r="B23" s="6" t="s">
        <v>134</v>
      </c>
      <c r="C23" s="6" t="s">
        <v>135</v>
      </c>
      <c r="D23" s="6" t="s">
        <v>18</v>
      </c>
      <c r="E23" s="6">
        <v>5683</v>
      </c>
      <c r="F23" s="6">
        <v>0</v>
      </c>
      <c r="G23" s="6">
        <v>5683</v>
      </c>
      <c r="H23" s="8">
        <v>2.2100000000000002E-2</v>
      </c>
      <c r="I23" s="9">
        <v>1.82946E+16</v>
      </c>
      <c r="J23" s="6">
        <v>204256768</v>
      </c>
      <c r="K23" s="6" t="s">
        <v>136</v>
      </c>
      <c r="L23" s="6" t="s">
        <v>137</v>
      </c>
      <c r="M23" s="6" t="s">
        <v>21</v>
      </c>
      <c r="N23" s="6" t="s">
        <v>138</v>
      </c>
      <c r="O23" s="6" t="s">
        <v>45</v>
      </c>
      <c r="P23" s="6">
        <v>0.993946492671966</v>
      </c>
    </row>
    <row r="24" spans="1:16" x14ac:dyDescent="0.3">
      <c r="A24" s="7">
        <v>45953</v>
      </c>
      <c r="B24" s="6" t="s">
        <v>139</v>
      </c>
      <c r="C24" s="6" t="s">
        <v>17</v>
      </c>
      <c r="D24" s="6" t="s">
        <v>18</v>
      </c>
      <c r="E24" s="6">
        <v>5502</v>
      </c>
      <c r="F24" s="6">
        <v>162</v>
      </c>
      <c r="G24" s="6">
        <v>5664</v>
      </c>
      <c r="H24" s="8">
        <v>5.91E-2</v>
      </c>
      <c r="I24" s="9">
        <v>1.80669E+16</v>
      </c>
      <c r="J24" s="6">
        <v>2251720016</v>
      </c>
      <c r="K24" s="6" t="s">
        <v>140</v>
      </c>
      <c r="L24" s="6" t="s">
        <v>141</v>
      </c>
      <c r="M24" s="6" t="s">
        <v>21</v>
      </c>
      <c r="N24" s="6" t="s">
        <v>142</v>
      </c>
      <c r="O24" s="6" t="s">
        <v>77</v>
      </c>
      <c r="P24" s="6">
        <v>0.95952838659286499</v>
      </c>
    </row>
    <row r="25" spans="1:16" x14ac:dyDescent="0.3">
      <c r="A25" s="7">
        <v>45952</v>
      </c>
      <c r="B25" s="6" t="s">
        <v>143</v>
      </c>
      <c r="C25" s="6" t="s">
        <v>144</v>
      </c>
      <c r="D25" s="6" t="s">
        <v>18</v>
      </c>
      <c r="E25" s="6">
        <v>5283</v>
      </c>
      <c r="F25" s="6">
        <v>374</v>
      </c>
      <c r="G25" s="6">
        <v>5657</v>
      </c>
      <c r="H25" s="8">
        <v>5.28E-2</v>
      </c>
      <c r="I25" s="9">
        <v>1.80632E+16</v>
      </c>
      <c r="J25" s="6">
        <v>212887213</v>
      </c>
      <c r="K25" s="6" t="s">
        <v>145</v>
      </c>
      <c r="L25" s="6" t="s">
        <v>146</v>
      </c>
      <c r="M25" s="6" t="s">
        <v>147</v>
      </c>
      <c r="N25" s="6" t="s">
        <v>148</v>
      </c>
      <c r="O25" s="6" t="s">
        <v>23</v>
      </c>
      <c r="P25" s="6">
        <v>0.93443280458450295</v>
      </c>
    </row>
    <row r="26" spans="1:16" x14ac:dyDescent="0.3">
      <c r="A26" s="7">
        <v>45939</v>
      </c>
      <c r="B26" s="6" t="s">
        <v>149</v>
      </c>
      <c r="C26" s="6" t="s">
        <v>112</v>
      </c>
      <c r="D26" s="6" t="s">
        <v>18</v>
      </c>
      <c r="E26" s="6">
        <v>4531</v>
      </c>
      <c r="F26" s="6">
        <v>338</v>
      </c>
      <c r="G26" s="6">
        <v>4869</v>
      </c>
      <c r="H26" s="8">
        <v>1.8100000000000002E-2</v>
      </c>
      <c r="I26" s="9">
        <v>1.79371E+16</v>
      </c>
      <c r="J26" s="6">
        <v>1780951078</v>
      </c>
      <c r="K26" s="6" t="s">
        <v>150</v>
      </c>
      <c r="L26" s="6" t="s">
        <v>151</v>
      </c>
      <c r="M26" s="6" t="s">
        <v>115</v>
      </c>
      <c r="N26" s="6" t="s">
        <v>152</v>
      </c>
      <c r="O26" s="6" t="s">
        <v>23</v>
      </c>
      <c r="P26" s="6">
        <v>0.98384326696395796</v>
      </c>
    </row>
    <row r="27" spans="1:16" x14ac:dyDescent="0.3">
      <c r="A27" s="7">
        <v>45954</v>
      </c>
      <c r="B27" s="6" t="s">
        <v>153</v>
      </c>
      <c r="C27" s="6" t="s">
        <v>154</v>
      </c>
      <c r="D27" s="6" t="s">
        <v>18</v>
      </c>
      <c r="E27" s="6">
        <v>4260</v>
      </c>
      <c r="F27" s="6">
        <v>604</v>
      </c>
      <c r="G27" s="6">
        <v>4864</v>
      </c>
      <c r="H27" s="8">
        <v>4.4000000000000003E-3</v>
      </c>
      <c r="I27" s="9">
        <v>1.8081E+16</v>
      </c>
      <c r="J27" s="6">
        <v>2279778212</v>
      </c>
      <c r="K27" s="6" t="s">
        <v>155</v>
      </c>
      <c r="L27" s="6" t="s">
        <v>156</v>
      </c>
      <c r="M27" s="6" t="s">
        <v>157</v>
      </c>
      <c r="N27" s="6" t="s">
        <v>158</v>
      </c>
      <c r="O27" s="6" t="s">
        <v>23</v>
      </c>
      <c r="P27" s="6">
        <v>0.97770965099334695</v>
      </c>
    </row>
    <row r="28" spans="1:16" x14ac:dyDescent="0.3">
      <c r="A28" s="7">
        <v>45952</v>
      </c>
      <c r="B28" s="6" t="s">
        <v>159</v>
      </c>
      <c r="C28" s="6" t="s">
        <v>160</v>
      </c>
      <c r="D28" s="6" t="s">
        <v>18</v>
      </c>
      <c r="E28" s="6">
        <v>4085</v>
      </c>
      <c r="F28" s="6">
        <v>259</v>
      </c>
      <c r="G28" s="6">
        <v>4344</v>
      </c>
      <c r="H28" s="8">
        <v>1.38E-2</v>
      </c>
      <c r="I28" s="9">
        <v>1.80025E+16</v>
      </c>
      <c r="J28" s="6">
        <v>375459502</v>
      </c>
      <c r="K28" s="6" t="s">
        <v>161</v>
      </c>
      <c r="L28" s="6" t="s">
        <v>162</v>
      </c>
      <c r="M28" s="6" t="s">
        <v>21</v>
      </c>
      <c r="N28" s="6" t="s">
        <v>163</v>
      </c>
      <c r="O28" s="6" t="s">
        <v>23</v>
      </c>
      <c r="P28" s="6">
        <v>0.59274876117706299</v>
      </c>
    </row>
    <row r="29" spans="1:16" x14ac:dyDescent="0.3">
      <c r="A29" s="7">
        <v>45957</v>
      </c>
      <c r="B29" s="6" t="s">
        <v>164</v>
      </c>
      <c r="C29" s="6" t="s">
        <v>165</v>
      </c>
      <c r="D29" s="6" t="s">
        <v>18</v>
      </c>
      <c r="E29" s="6">
        <v>4014</v>
      </c>
      <c r="F29" s="6">
        <v>251</v>
      </c>
      <c r="G29" s="6">
        <v>4265</v>
      </c>
      <c r="H29" s="8">
        <v>2.3E-3</v>
      </c>
      <c r="I29" s="9">
        <v>1.80617E+16</v>
      </c>
      <c r="J29" s="6">
        <v>3428166241</v>
      </c>
      <c r="K29" s="6" t="s">
        <v>166</v>
      </c>
      <c r="L29" s="6" t="s">
        <v>167</v>
      </c>
      <c r="M29" s="6" t="s">
        <v>21</v>
      </c>
      <c r="N29" s="6" t="s">
        <v>168</v>
      </c>
      <c r="O29" s="6" t="s">
        <v>77</v>
      </c>
      <c r="P29" s="6">
        <v>0.60005402565002397</v>
      </c>
    </row>
    <row r="30" spans="1:16" x14ac:dyDescent="0.3">
      <c r="A30" s="7">
        <v>45953</v>
      </c>
      <c r="B30" s="6" t="s">
        <v>169</v>
      </c>
      <c r="C30" s="6" t="s">
        <v>170</v>
      </c>
      <c r="D30" s="6" t="s">
        <v>18</v>
      </c>
      <c r="E30" s="6">
        <v>3749</v>
      </c>
      <c r="F30" s="6">
        <v>325</v>
      </c>
      <c r="G30" s="6">
        <v>4074</v>
      </c>
      <c r="H30" s="8">
        <v>7.7000000000000002E-3</v>
      </c>
      <c r="I30" s="9">
        <v>1.79339E+16</v>
      </c>
      <c r="J30" s="6">
        <v>8219288942</v>
      </c>
      <c r="K30" s="6" t="s">
        <v>171</v>
      </c>
      <c r="L30" s="6" t="s">
        <v>172</v>
      </c>
      <c r="M30" s="6" t="s">
        <v>21</v>
      </c>
      <c r="N30" s="6" t="s">
        <v>173</v>
      </c>
      <c r="O30" s="6" t="s">
        <v>77</v>
      </c>
      <c r="P30" s="6">
        <v>0.98921424150466897</v>
      </c>
    </row>
    <row r="31" spans="1:16" x14ac:dyDescent="0.3">
      <c r="A31" s="7">
        <v>45950</v>
      </c>
      <c r="B31" s="6" t="s">
        <v>174</v>
      </c>
      <c r="C31" s="6" t="s">
        <v>175</v>
      </c>
      <c r="D31" s="6" t="s">
        <v>18</v>
      </c>
      <c r="E31" s="6">
        <v>3746</v>
      </c>
      <c r="F31" s="6">
        <v>141</v>
      </c>
      <c r="G31" s="6">
        <v>3887</v>
      </c>
      <c r="H31" s="8">
        <v>4.7000000000000002E-3</v>
      </c>
      <c r="I31" s="9">
        <v>1.8043E+16</v>
      </c>
      <c r="J31" s="6">
        <v>2622151315</v>
      </c>
      <c r="K31" s="6" t="s">
        <v>176</v>
      </c>
      <c r="L31" s="6" t="s">
        <v>177</v>
      </c>
      <c r="M31" s="6" t="s">
        <v>178</v>
      </c>
      <c r="N31" s="6" t="s">
        <v>179</v>
      </c>
      <c r="O31" s="6" t="s">
        <v>23</v>
      </c>
      <c r="P31" s="6">
        <v>0.93445414304733199</v>
      </c>
    </row>
    <row r="32" spans="1:16" x14ac:dyDescent="0.3">
      <c r="A32" s="7">
        <v>45950</v>
      </c>
      <c r="B32" s="6" t="s">
        <v>180</v>
      </c>
      <c r="C32" s="6" t="s">
        <v>181</v>
      </c>
      <c r="D32" s="6" t="s">
        <v>18</v>
      </c>
      <c r="E32" s="6">
        <v>3727</v>
      </c>
      <c r="F32" s="6">
        <v>16</v>
      </c>
      <c r="G32" s="6">
        <v>3743</v>
      </c>
      <c r="H32" s="8">
        <v>2.8E-3</v>
      </c>
      <c r="I32" s="9">
        <v>1.79226E+16</v>
      </c>
      <c r="J32" s="6">
        <v>1558618035</v>
      </c>
      <c r="K32" s="6" t="s">
        <v>182</v>
      </c>
      <c r="L32" s="6" t="s">
        <v>183</v>
      </c>
      <c r="M32" s="6" t="s">
        <v>21</v>
      </c>
      <c r="N32" s="6" t="s">
        <v>184</v>
      </c>
      <c r="O32" s="6" t="s">
        <v>23</v>
      </c>
      <c r="P32" s="6">
        <v>0.98078006505966098</v>
      </c>
    </row>
    <row r="33" spans="1:16" x14ac:dyDescent="0.3">
      <c r="A33" s="7">
        <v>45944</v>
      </c>
      <c r="B33" s="6" t="s">
        <v>185</v>
      </c>
      <c r="C33" s="6" t="s">
        <v>112</v>
      </c>
      <c r="D33" s="6" t="s">
        <v>18</v>
      </c>
      <c r="E33" s="6">
        <v>3608</v>
      </c>
      <c r="F33" s="6">
        <v>46</v>
      </c>
      <c r="G33" s="6">
        <v>3654</v>
      </c>
      <c r="H33" s="8">
        <v>1.35E-2</v>
      </c>
      <c r="I33" s="9">
        <v>1.79883E+16</v>
      </c>
      <c r="J33" s="6">
        <v>1780951078</v>
      </c>
      <c r="K33" s="6" t="s">
        <v>186</v>
      </c>
      <c r="L33" s="6" t="s">
        <v>187</v>
      </c>
      <c r="M33" s="6" t="s">
        <v>115</v>
      </c>
      <c r="N33" s="6" t="s">
        <v>188</v>
      </c>
      <c r="O33" s="6" t="s">
        <v>23</v>
      </c>
      <c r="P33" s="6">
        <v>0.97909522056579501</v>
      </c>
    </row>
    <row r="34" spans="1:16" x14ac:dyDescent="0.3">
      <c r="A34" s="7">
        <v>45957</v>
      </c>
      <c r="B34" s="6" t="s">
        <v>189</v>
      </c>
      <c r="C34" s="6" t="s">
        <v>190</v>
      </c>
      <c r="D34" s="6" t="s">
        <v>18</v>
      </c>
      <c r="E34" s="6">
        <v>3303</v>
      </c>
      <c r="F34" s="6">
        <v>347</v>
      </c>
      <c r="G34" s="6">
        <v>3650</v>
      </c>
      <c r="H34" s="8">
        <v>1.06E-2</v>
      </c>
      <c r="I34" s="9">
        <v>1.81795E+16</v>
      </c>
      <c r="J34" s="6">
        <v>2501583257</v>
      </c>
      <c r="K34" s="6" t="s">
        <v>191</v>
      </c>
      <c r="L34" s="6" t="s">
        <v>192</v>
      </c>
      <c r="M34" s="6" t="s">
        <v>193</v>
      </c>
      <c r="N34" s="6" t="s">
        <v>194</v>
      </c>
      <c r="O34" s="6" t="s">
        <v>77</v>
      </c>
      <c r="P34" s="6">
        <v>0.92029261589050204</v>
      </c>
    </row>
    <row r="35" spans="1:16" x14ac:dyDescent="0.3">
      <c r="A35" s="7">
        <v>45954</v>
      </c>
      <c r="B35" s="6" t="s">
        <v>195</v>
      </c>
      <c r="C35" s="6" t="s">
        <v>196</v>
      </c>
      <c r="D35" s="6" t="s">
        <v>18</v>
      </c>
      <c r="E35" s="6">
        <v>3324</v>
      </c>
      <c r="F35" s="6">
        <v>313</v>
      </c>
      <c r="G35" s="6">
        <v>3637</v>
      </c>
      <c r="H35" s="8">
        <v>4.1000000000000003E-3</v>
      </c>
      <c r="I35" s="9">
        <v>1.79704E+16</v>
      </c>
      <c r="J35" s="6">
        <v>2366541792</v>
      </c>
      <c r="K35" s="6" t="s">
        <v>197</v>
      </c>
      <c r="L35" s="6" t="s">
        <v>198</v>
      </c>
      <c r="M35" s="6" t="s">
        <v>199</v>
      </c>
      <c r="N35" s="6" t="s">
        <v>200</v>
      </c>
      <c r="O35" s="6" t="s">
        <v>23</v>
      </c>
      <c r="P35" s="6">
        <v>0.58166199922561601</v>
      </c>
    </row>
    <row r="36" spans="1:16" x14ac:dyDescent="0.3">
      <c r="A36" s="7">
        <v>45953</v>
      </c>
      <c r="B36" s="6" t="s">
        <v>201</v>
      </c>
      <c r="C36" s="6" t="s">
        <v>202</v>
      </c>
      <c r="D36" s="6" t="s">
        <v>18</v>
      </c>
      <c r="E36" s="6">
        <v>3348</v>
      </c>
      <c r="F36" s="6">
        <v>159</v>
      </c>
      <c r="G36" s="6">
        <v>3507</v>
      </c>
      <c r="H36" s="8">
        <v>2.52E-2</v>
      </c>
      <c r="I36" s="9">
        <v>1.80781E+16</v>
      </c>
      <c r="J36" s="6">
        <v>1584645621</v>
      </c>
      <c r="K36" s="6" t="s">
        <v>203</v>
      </c>
      <c r="L36" s="6" t="s">
        <v>204</v>
      </c>
      <c r="M36" s="6" t="s">
        <v>205</v>
      </c>
      <c r="N36" s="6" t="s">
        <v>206</v>
      </c>
      <c r="O36" s="6" t="s">
        <v>77</v>
      </c>
      <c r="P36" s="6">
        <v>0.97078001499176003</v>
      </c>
    </row>
    <row r="37" spans="1:16" x14ac:dyDescent="0.3">
      <c r="A37" s="7">
        <v>45955</v>
      </c>
      <c r="B37" s="6" t="s">
        <v>207</v>
      </c>
      <c r="C37" s="6" t="s">
        <v>208</v>
      </c>
      <c r="D37" s="6" t="s">
        <v>18</v>
      </c>
      <c r="E37" s="6">
        <v>2943</v>
      </c>
      <c r="F37" s="6">
        <v>486</v>
      </c>
      <c r="G37" s="6">
        <v>3429</v>
      </c>
      <c r="H37" s="8">
        <v>4.8800000000000003E-2</v>
      </c>
      <c r="I37" s="9">
        <v>1.79866E+16</v>
      </c>
      <c r="J37" s="6">
        <v>28508595553</v>
      </c>
      <c r="K37" s="6" t="s">
        <v>209</v>
      </c>
      <c r="L37" s="6" t="s">
        <v>210</v>
      </c>
      <c r="M37" s="6" t="s">
        <v>211</v>
      </c>
      <c r="N37" s="6" t="s">
        <v>212</v>
      </c>
      <c r="O37" s="6" t="s">
        <v>45</v>
      </c>
      <c r="P37" s="6">
        <v>0.97764378786087003</v>
      </c>
    </row>
    <row r="38" spans="1:16" x14ac:dyDescent="0.3">
      <c r="A38" s="7">
        <v>45953</v>
      </c>
      <c r="B38" s="6" t="s">
        <v>213</v>
      </c>
      <c r="C38" s="6" t="s">
        <v>214</v>
      </c>
      <c r="D38" s="6" t="s">
        <v>18</v>
      </c>
      <c r="E38" s="6">
        <v>3103</v>
      </c>
      <c r="F38" s="6">
        <v>155</v>
      </c>
      <c r="G38" s="6">
        <v>3258</v>
      </c>
      <c r="H38" s="8">
        <v>6.7000000000000002E-3</v>
      </c>
      <c r="I38" s="9">
        <v>1.81174E+16</v>
      </c>
      <c r="J38" s="6">
        <v>3117846895</v>
      </c>
      <c r="K38" s="6" t="s">
        <v>215</v>
      </c>
      <c r="L38" s="6" t="s">
        <v>216</v>
      </c>
      <c r="M38" s="6" t="s">
        <v>217</v>
      </c>
      <c r="N38" s="6" t="s">
        <v>218</v>
      </c>
      <c r="O38" s="6" t="s">
        <v>23</v>
      </c>
      <c r="P38" s="6">
        <v>0.74391430616378695</v>
      </c>
    </row>
    <row r="39" spans="1:16" x14ac:dyDescent="0.3">
      <c r="A39" s="7">
        <v>45957</v>
      </c>
      <c r="B39" s="6" t="s">
        <v>219</v>
      </c>
      <c r="C39" s="6" t="s">
        <v>220</v>
      </c>
      <c r="D39" s="6" t="s">
        <v>18</v>
      </c>
      <c r="E39" s="6">
        <v>3069</v>
      </c>
      <c r="F39" s="6">
        <v>58</v>
      </c>
      <c r="G39" s="6">
        <v>3127</v>
      </c>
      <c r="H39" s="8">
        <v>1.1599999999999999E-2</v>
      </c>
      <c r="I39" s="9">
        <v>1.79214E+16</v>
      </c>
      <c r="J39" s="6">
        <v>253985751</v>
      </c>
      <c r="K39" s="6" t="s">
        <v>221</v>
      </c>
      <c r="L39" s="6" t="s">
        <v>222</v>
      </c>
      <c r="M39" s="6" t="s">
        <v>223</v>
      </c>
      <c r="N39" s="6" t="s">
        <v>224</v>
      </c>
      <c r="O39" s="6" t="s">
        <v>23</v>
      </c>
      <c r="P39" s="6">
        <v>0.97785270214080799</v>
      </c>
    </row>
    <row r="40" spans="1:16" x14ac:dyDescent="0.3">
      <c r="A40" s="7">
        <v>45954</v>
      </c>
      <c r="B40" s="6" t="s">
        <v>225</v>
      </c>
      <c r="C40" s="6" t="s">
        <v>135</v>
      </c>
      <c r="D40" s="6" t="s">
        <v>18</v>
      </c>
      <c r="E40" s="6">
        <v>3008</v>
      </c>
      <c r="F40" s="6">
        <v>0</v>
      </c>
      <c r="G40" s="6">
        <v>3008</v>
      </c>
      <c r="H40" s="8">
        <v>1.17E-2</v>
      </c>
      <c r="I40" s="9">
        <v>1.7906E+16</v>
      </c>
      <c r="J40" s="6">
        <v>204256768</v>
      </c>
      <c r="K40" s="6" t="s">
        <v>226</v>
      </c>
      <c r="L40" s="6" t="s">
        <v>227</v>
      </c>
      <c r="M40" s="6" t="s">
        <v>21</v>
      </c>
      <c r="N40" s="6" t="s">
        <v>228</v>
      </c>
      <c r="O40" s="6" t="s">
        <v>45</v>
      </c>
      <c r="P40" s="6">
        <v>0.98674064874649003</v>
      </c>
    </row>
    <row r="41" spans="1:16" x14ac:dyDescent="0.3">
      <c r="A41" s="7">
        <v>45952</v>
      </c>
      <c r="B41" s="6" t="s">
        <v>229</v>
      </c>
      <c r="C41" s="6" t="s">
        <v>41</v>
      </c>
      <c r="D41" s="6" t="s">
        <v>18</v>
      </c>
      <c r="E41" s="6">
        <v>2749</v>
      </c>
      <c r="F41" s="6">
        <v>222</v>
      </c>
      <c r="G41" s="6">
        <v>2971</v>
      </c>
      <c r="H41" s="8">
        <v>2.07E-2</v>
      </c>
      <c r="I41" s="9">
        <v>1.80175E+16</v>
      </c>
      <c r="J41" s="6">
        <v>9890672501</v>
      </c>
      <c r="K41" s="6" t="s">
        <v>230</v>
      </c>
      <c r="L41" s="6" t="s">
        <v>231</v>
      </c>
      <c r="M41" s="6" t="s">
        <v>21</v>
      </c>
      <c r="N41" s="6" t="s">
        <v>232</v>
      </c>
      <c r="O41" s="6" t="s">
        <v>77</v>
      </c>
      <c r="P41" s="6">
        <v>0.80215245485305697</v>
      </c>
    </row>
    <row r="42" spans="1:16" x14ac:dyDescent="0.3">
      <c r="A42" s="7">
        <v>45950</v>
      </c>
      <c r="B42" s="6" t="s">
        <v>233</v>
      </c>
      <c r="C42" s="6" t="s">
        <v>175</v>
      </c>
      <c r="D42" s="6" t="s">
        <v>54</v>
      </c>
      <c r="E42" s="6">
        <v>1730</v>
      </c>
      <c r="F42" s="6">
        <v>558</v>
      </c>
      <c r="G42" s="6">
        <v>2906</v>
      </c>
      <c r="H42" s="8">
        <v>1.6199999999999999E-2</v>
      </c>
      <c r="I42" s="6" t="s">
        <v>234</v>
      </c>
      <c r="J42" s="6">
        <v>2906880000000000</v>
      </c>
      <c r="K42" s="6" t="s">
        <v>235</v>
      </c>
      <c r="L42" s="6" t="s">
        <v>236</v>
      </c>
      <c r="M42" s="6" t="s">
        <v>237</v>
      </c>
      <c r="N42" s="6" t="s">
        <v>238</v>
      </c>
      <c r="O42" s="6" t="s">
        <v>23</v>
      </c>
      <c r="P42" s="6">
        <v>0.59240871667861905</v>
      </c>
    </row>
    <row r="43" spans="1:16" x14ac:dyDescent="0.3">
      <c r="A43" s="7">
        <v>45956</v>
      </c>
      <c r="B43" s="6" t="s">
        <v>239</v>
      </c>
      <c r="C43" s="6" t="s">
        <v>144</v>
      </c>
      <c r="D43" s="6" t="s">
        <v>18</v>
      </c>
      <c r="E43" s="6">
        <v>2789</v>
      </c>
      <c r="F43" s="6">
        <v>42</v>
      </c>
      <c r="G43" s="6">
        <v>2831</v>
      </c>
      <c r="H43" s="8">
        <v>2.64E-2</v>
      </c>
      <c r="I43" s="9">
        <v>1.79567E+16</v>
      </c>
      <c r="J43" s="6">
        <v>212887213</v>
      </c>
      <c r="K43" s="6" t="s">
        <v>240</v>
      </c>
      <c r="L43" s="6" t="s">
        <v>241</v>
      </c>
      <c r="M43" s="6" t="s">
        <v>242</v>
      </c>
      <c r="N43" s="6" t="s">
        <v>243</v>
      </c>
      <c r="O43" s="6" t="s">
        <v>77</v>
      </c>
      <c r="P43" s="6">
        <v>0.83423328399658203</v>
      </c>
    </row>
    <row r="44" spans="1:16" x14ac:dyDescent="0.3">
      <c r="A44" s="7">
        <v>45953</v>
      </c>
      <c r="B44" s="6" t="s">
        <v>244</v>
      </c>
      <c r="C44" s="6" t="s">
        <v>245</v>
      </c>
      <c r="D44" s="6" t="s">
        <v>54</v>
      </c>
      <c r="E44" s="6">
        <v>1451</v>
      </c>
      <c r="F44" s="6">
        <v>758</v>
      </c>
      <c r="G44" s="6">
        <v>2802</v>
      </c>
      <c r="H44" s="8">
        <v>8.9999999999999998E-4</v>
      </c>
      <c r="I44" s="6" t="s">
        <v>246</v>
      </c>
      <c r="J44" s="6">
        <v>101747000000000</v>
      </c>
      <c r="K44" s="6" t="s">
        <v>247</v>
      </c>
      <c r="L44" s="6" t="s">
        <v>248</v>
      </c>
      <c r="M44" s="6" t="s">
        <v>21</v>
      </c>
      <c r="N44" s="6" t="s">
        <v>249</v>
      </c>
      <c r="O44" s="6" t="s">
        <v>23</v>
      </c>
      <c r="P44" s="6">
        <v>0.96651154756545998</v>
      </c>
    </row>
    <row r="45" spans="1:16" x14ac:dyDescent="0.3">
      <c r="A45" s="7">
        <v>45952</v>
      </c>
      <c r="B45" s="6" t="s">
        <v>250</v>
      </c>
      <c r="C45" s="6" t="s">
        <v>251</v>
      </c>
      <c r="D45" s="6" t="s">
        <v>18</v>
      </c>
      <c r="E45" s="6">
        <v>2042</v>
      </c>
      <c r="F45" s="6">
        <v>747</v>
      </c>
      <c r="G45" s="6">
        <v>2789</v>
      </c>
      <c r="H45" s="8">
        <v>2.5000000000000001E-3</v>
      </c>
      <c r="I45" s="9">
        <v>1.81776E+16</v>
      </c>
      <c r="J45" s="6">
        <v>4050504207</v>
      </c>
      <c r="K45" s="6" t="s">
        <v>252</v>
      </c>
      <c r="L45" s="6" t="s">
        <v>253</v>
      </c>
      <c r="M45" s="6" t="s">
        <v>254</v>
      </c>
      <c r="N45" s="6" t="s">
        <v>255</v>
      </c>
      <c r="O45" s="6" t="s">
        <v>45</v>
      </c>
      <c r="P45" s="6">
        <v>0.973824143409729</v>
      </c>
    </row>
    <row r="46" spans="1:16" x14ac:dyDescent="0.3">
      <c r="A46" s="7">
        <v>45952</v>
      </c>
      <c r="B46" s="6" t="s">
        <v>256</v>
      </c>
      <c r="C46" s="6" t="s">
        <v>257</v>
      </c>
      <c r="D46" s="6" t="s">
        <v>18</v>
      </c>
      <c r="E46" s="6">
        <v>2621</v>
      </c>
      <c r="F46" s="6">
        <v>52</v>
      </c>
      <c r="G46" s="6">
        <v>2673</v>
      </c>
      <c r="H46" s="8">
        <v>1.49E-2</v>
      </c>
      <c r="I46" s="9">
        <v>1.79512E+16</v>
      </c>
      <c r="J46" s="6">
        <v>3402935747</v>
      </c>
      <c r="K46" s="6" t="s">
        <v>258</v>
      </c>
      <c r="L46" s="6" t="s">
        <v>259</v>
      </c>
      <c r="M46" s="6" t="s">
        <v>21</v>
      </c>
      <c r="N46" s="6" t="s">
        <v>260</v>
      </c>
      <c r="O46" s="6" t="s">
        <v>77</v>
      </c>
      <c r="P46" s="6">
        <v>0.76922953128814697</v>
      </c>
    </row>
    <row r="47" spans="1:16" x14ac:dyDescent="0.3">
      <c r="A47" s="7">
        <v>45946</v>
      </c>
      <c r="B47" s="6" t="s">
        <v>261</v>
      </c>
      <c r="C47" s="6" t="s">
        <v>262</v>
      </c>
      <c r="D47" s="6" t="s">
        <v>54</v>
      </c>
      <c r="E47" s="6">
        <v>900</v>
      </c>
      <c r="F47" s="6">
        <v>95</v>
      </c>
      <c r="G47" s="6">
        <v>2665</v>
      </c>
      <c r="H47" s="8">
        <v>6.4000000000000003E-3</v>
      </c>
      <c r="I47" s="6" t="s">
        <v>263</v>
      </c>
      <c r="J47" s="6">
        <v>227944000000000</v>
      </c>
      <c r="K47" s="6" t="s">
        <v>264</v>
      </c>
      <c r="L47" s="6" t="s">
        <v>265</v>
      </c>
      <c r="M47" s="6" t="s">
        <v>266</v>
      </c>
      <c r="N47" s="6" t="s">
        <v>267</v>
      </c>
      <c r="O47" s="6" t="s">
        <v>23</v>
      </c>
      <c r="P47" s="6">
        <v>0.91557770967483498</v>
      </c>
    </row>
    <row r="48" spans="1:16" x14ac:dyDescent="0.3">
      <c r="A48" s="7">
        <v>45954</v>
      </c>
      <c r="B48" s="6" t="s">
        <v>268</v>
      </c>
      <c r="C48" s="6" t="s">
        <v>154</v>
      </c>
      <c r="D48" s="6" t="s">
        <v>18</v>
      </c>
      <c r="E48" s="6">
        <v>2378</v>
      </c>
      <c r="F48" s="6">
        <v>258</v>
      </c>
      <c r="G48" s="6">
        <v>2636</v>
      </c>
      <c r="H48" s="8">
        <v>2.3999999999999998E-3</v>
      </c>
      <c r="I48" s="9">
        <v>1.78888E+16</v>
      </c>
      <c r="J48" s="6">
        <v>2279778212</v>
      </c>
      <c r="K48" s="6" t="s">
        <v>269</v>
      </c>
      <c r="L48" s="6" t="s">
        <v>270</v>
      </c>
      <c r="M48" s="6" t="s">
        <v>271</v>
      </c>
      <c r="N48" s="6" t="s">
        <v>272</v>
      </c>
      <c r="O48" s="6" t="s">
        <v>23</v>
      </c>
      <c r="P48" s="6">
        <v>0.87796998023986805</v>
      </c>
    </row>
    <row r="49" spans="1:16" x14ac:dyDescent="0.3">
      <c r="A49" s="7">
        <v>45953</v>
      </c>
      <c r="B49" s="6" t="s">
        <v>273</v>
      </c>
      <c r="C49" s="6" t="s">
        <v>274</v>
      </c>
      <c r="D49" s="6" t="s">
        <v>18</v>
      </c>
      <c r="E49" s="6">
        <v>2294</v>
      </c>
      <c r="F49" s="6">
        <v>246</v>
      </c>
      <c r="G49" s="6">
        <v>2540</v>
      </c>
      <c r="H49" s="8">
        <v>1.72E-2</v>
      </c>
      <c r="I49" s="9">
        <v>1.85392E+16</v>
      </c>
      <c r="J49" s="6">
        <v>6364469376</v>
      </c>
      <c r="K49" s="6" t="s">
        <v>275</v>
      </c>
      <c r="L49" s="6" t="s">
        <v>276</v>
      </c>
      <c r="M49" s="6" t="s">
        <v>21</v>
      </c>
      <c r="N49" s="6" t="s">
        <v>277</v>
      </c>
      <c r="O49" s="6" t="s">
        <v>23</v>
      </c>
      <c r="P49" s="6">
        <v>0.47713148593902499</v>
      </c>
    </row>
    <row r="50" spans="1:16" x14ac:dyDescent="0.3">
      <c r="A50" s="7">
        <v>45953</v>
      </c>
      <c r="B50" s="6" t="s">
        <v>278</v>
      </c>
      <c r="C50" s="6" t="s">
        <v>279</v>
      </c>
      <c r="D50" s="6" t="s">
        <v>18</v>
      </c>
      <c r="E50" s="6">
        <v>2447</v>
      </c>
      <c r="F50" s="6">
        <v>85</v>
      </c>
      <c r="G50" s="6">
        <v>2532</v>
      </c>
      <c r="H50" s="8">
        <v>2.3E-3</v>
      </c>
      <c r="I50" s="9">
        <v>1.80742E+16</v>
      </c>
      <c r="J50" s="6">
        <v>5903695152</v>
      </c>
      <c r="K50" s="6" t="s">
        <v>280</v>
      </c>
      <c r="L50" s="6" t="s">
        <v>281</v>
      </c>
      <c r="M50" s="6" t="s">
        <v>282</v>
      </c>
      <c r="N50" s="6" t="s">
        <v>283</v>
      </c>
      <c r="O50" s="6" t="s">
        <v>77</v>
      </c>
      <c r="P50" s="6">
        <v>0.98255699872970503</v>
      </c>
    </row>
    <row r="51" spans="1:16" x14ac:dyDescent="0.3">
      <c r="A51" s="7">
        <v>45953</v>
      </c>
      <c r="B51" s="6" t="s">
        <v>284</v>
      </c>
      <c r="C51" s="6" t="s">
        <v>67</v>
      </c>
      <c r="D51" s="6" t="s">
        <v>54</v>
      </c>
      <c r="E51" s="6">
        <v>1436</v>
      </c>
      <c r="F51" s="6">
        <v>831</v>
      </c>
      <c r="G51" s="6">
        <v>2487</v>
      </c>
      <c r="H51" s="8">
        <v>5.9999999999999995E-4</v>
      </c>
      <c r="I51" s="6" t="s">
        <v>285</v>
      </c>
      <c r="J51" s="6">
        <v>636794000000000</v>
      </c>
      <c r="K51" s="6" t="s">
        <v>286</v>
      </c>
      <c r="L51" s="6" t="s">
        <v>287</v>
      </c>
      <c r="M51" s="6" t="s">
        <v>21</v>
      </c>
      <c r="N51" s="6" t="s">
        <v>288</v>
      </c>
      <c r="O51" s="6" t="s">
        <v>45</v>
      </c>
      <c r="P51" s="6">
        <v>0.955935478210449</v>
      </c>
    </row>
    <row r="52" spans="1:16" x14ac:dyDescent="0.3">
      <c r="A52" s="7">
        <v>45949</v>
      </c>
      <c r="B52" s="6" t="s">
        <v>289</v>
      </c>
      <c r="C52" s="6" t="s">
        <v>290</v>
      </c>
      <c r="D52" s="6" t="s">
        <v>18</v>
      </c>
      <c r="E52" s="6">
        <v>2352</v>
      </c>
      <c r="F52" s="6">
        <v>81</v>
      </c>
      <c r="G52" s="6">
        <v>2433</v>
      </c>
      <c r="H52" s="8">
        <v>2.1299999999999999E-2</v>
      </c>
      <c r="I52" s="9">
        <v>1.80441E+16</v>
      </c>
      <c r="J52" s="6">
        <v>56744494643</v>
      </c>
      <c r="K52" s="6" t="s">
        <v>291</v>
      </c>
      <c r="L52" s="6" t="s">
        <v>292</v>
      </c>
      <c r="M52" s="6" t="s">
        <v>293</v>
      </c>
      <c r="N52" s="6" t="s">
        <v>294</v>
      </c>
      <c r="O52" s="6" t="s">
        <v>45</v>
      </c>
      <c r="P52" s="6">
        <v>0.99693346023559504</v>
      </c>
    </row>
    <row r="53" spans="1:16" x14ac:dyDescent="0.3">
      <c r="A53" s="7">
        <v>45954</v>
      </c>
      <c r="B53" s="6" t="s">
        <v>295</v>
      </c>
      <c r="C53" s="6" t="s">
        <v>144</v>
      </c>
      <c r="D53" s="6" t="s">
        <v>18</v>
      </c>
      <c r="E53" s="6">
        <v>2293</v>
      </c>
      <c r="F53" s="6">
        <v>140</v>
      </c>
      <c r="G53" s="6">
        <v>2433</v>
      </c>
      <c r="H53" s="8">
        <v>2.2700000000000001E-2</v>
      </c>
      <c r="I53" s="9">
        <v>1.80703E+16</v>
      </c>
      <c r="J53" s="6">
        <v>212887213</v>
      </c>
      <c r="K53" s="6" t="s">
        <v>296</v>
      </c>
      <c r="L53" s="6" t="s">
        <v>297</v>
      </c>
      <c r="M53" s="6" t="s">
        <v>298</v>
      </c>
      <c r="N53" s="6" t="s">
        <v>299</v>
      </c>
      <c r="O53" s="6" t="s">
        <v>77</v>
      </c>
      <c r="P53" s="6">
        <v>0.99316483736038197</v>
      </c>
    </row>
    <row r="54" spans="1:16" x14ac:dyDescent="0.3">
      <c r="A54" s="7">
        <v>45954</v>
      </c>
      <c r="B54" s="6" t="s">
        <v>300</v>
      </c>
      <c r="C54" s="6" t="s">
        <v>301</v>
      </c>
      <c r="D54" s="6" t="s">
        <v>18</v>
      </c>
      <c r="E54" s="6">
        <v>2260</v>
      </c>
      <c r="F54" s="6">
        <v>56</v>
      </c>
      <c r="G54" s="6">
        <v>2316</v>
      </c>
      <c r="H54" s="8">
        <v>1.01E-2</v>
      </c>
      <c r="I54" s="9">
        <v>1.78481E+16</v>
      </c>
      <c r="J54" s="6">
        <v>266907615</v>
      </c>
      <c r="K54" s="6" t="s">
        <v>302</v>
      </c>
      <c r="L54" s="6" t="s">
        <v>303</v>
      </c>
      <c r="M54" s="6" t="s">
        <v>21</v>
      </c>
      <c r="N54" s="6" t="s">
        <v>304</v>
      </c>
      <c r="O54" s="6" t="s">
        <v>23</v>
      </c>
      <c r="P54" s="6">
        <v>0.98392647504806496</v>
      </c>
    </row>
    <row r="55" spans="1:16" x14ac:dyDescent="0.3">
      <c r="A55" s="7">
        <v>45954</v>
      </c>
      <c r="B55" s="6" t="s">
        <v>305</v>
      </c>
      <c r="C55" s="6" t="s">
        <v>306</v>
      </c>
      <c r="D55" s="6" t="s">
        <v>18</v>
      </c>
      <c r="E55" s="6">
        <v>2004</v>
      </c>
      <c r="F55" s="6">
        <v>294</v>
      </c>
      <c r="G55" s="6">
        <v>2298</v>
      </c>
      <c r="H55" s="8">
        <v>1.1999999999999999E-3</v>
      </c>
      <c r="I55" s="9">
        <v>1.78491E+16</v>
      </c>
      <c r="J55" s="6">
        <v>310386046</v>
      </c>
      <c r="K55" s="6" t="s">
        <v>307</v>
      </c>
      <c r="L55" s="6" t="s">
        <v>308</v>
      </c>
      <c r="M55" s="6" t="s">
        <v>309</v>
      </c>
      <c r="N55" s="6" t="s">
        <v>310</v>
      </c>
      <c r="O55" s="6" t="s">
        <v>23</v>
      </c>
      <c r="P55" s="6">
        <v>0.777410387992858</v>
      </c>
    </row>
    <row r="56" spans="1:16" x14ac:dyDescent="0.3">
      <c r="A56" s="7">
        <v>45957</v>
      </c>
      <c r="B56" s="6" t="s">
        <v>311</v>
      </c>
      <c r="C56" s="6" t="s">
        <v>312</v>
      </c>
      <c r="D56" s="6" t="s">
        <v>18</v>
      </c>
      <c r="E56" s="6">
        <v>2187</v>
      </c>
      <c r="F56" s="6">
        <v>83</v>
      </c>
      <c r="G56" s="6">
        <v>2270</v>
      </c>
      <c r="H56" s="8">
        <v>1.34E-2</v>
      </c>
      <c r="I56" s="9">
        <v>1.83685E+16</v>
      </c>
      <c r="J56" s="6">
        <v>51452118957</v>
      </c>
      <c r="K56" s="6" t="s">
        <v>313</v>
      </c>
      <c r="L56" s="6" t="s">
        <v>314</v>
      </c>
      <c r="M56" s="6" t="s">
        <v>21</v>
      </c>
      <c r="N56" s="6" t="s">
        <v>315</v>
      </c>
      <c r="O56" s="6" t="s">
        <v>45</v>
      </c>
      <c r="P56" s="6">
        <v>0.98617643117904596</v>
      </c>
    </row>
    <row r="57" spans="1:16" x14ac:dyDescent="0.3">
      <c r="A57" s="7">
        <v>45953</v>
      </c>
      <c r="B57" s="6" t="s">
        <v>316</v>
      </c>
      <c r="C57" s="6" t="s">
        <v>317</v>
      </c>
      <c r="D57" s="6" t="s">
        <v>18</v>
      </c>
      <c r="E57" s="6">
        <v>2023</v>
      </c>
      <c r="F57" s="6">
        <v>200</v>
      </c>
      <c r="G57" s="6">
        <v>2223</v>
      </c>
      <c r="H57" s="8">
        <v>2.3999999999999998E-3</v>
      </c>
      <c r="I57" s="9">
        <v>1.81097E+16</v>
      </c>
      <c r="J57" s="6">
        <v>4489021666</v>
      </c>
      <c r="K57" s="6" t="s">
        <v>318</v>
      </c>
      <c r="L57" s="6" t="s">
        <v>319</v>
      </c>
      <c r="M57" s="6" t="s">
        <v>320</v>
      </c>
      <c r="N57" s="6" t="s">
        <v>321</v>
      </c>
      <c r="O57" s="6" t="s">
        <v>77</v>
      </c>
      <c r="P57" s="6">
        <v>0.94137638807296697</v>
      </c>
    </row>
    <row r="58" spans="1:16" x14ac:dyDescent="0.3">
      <c r="A58" s="7">
        <v>45950</v>
      </c>
      <c r="B58" s="6" t="s">
        <v>322</v>
      </c>
      <c r="C58" s="6" t="s">
        <v>323</v>
      </c>
      <c r="D58" s="6" t="s">
        <v>18</v>
      </c>
      <c r="E58" s="6">
        <v>2191</v>
      </c>
      <c r="F58" s="6">
        <v>17</v>
      </c>
      <c r="G58" s="6">
        <v>2208</v>
      </c>
      <c r="H58" s="8">
        <v>4.3E-3</v>
      </c>
      <c r="I58" s="9">
        <v>1.8061E+16</v>
      </c>
      <c r="J58" s="6">
        <v>39289871539</v>
      </c>
      <c r="K58" s="6" t="s">
        <v>324</v>
      </c>
      <c r="L58" s="6" t="s">
        <v>325</v>
      </c>
      <c r="M58" s="6" t="s">
        <v>326</v>
      </c>
      <c r="N58" s="6" t="s">
        <v>327</v>
      </c>
      <c r="O58" s="6" t="s">
        <v>23</v>
      </c>
      <c r="P58" s="6">
        <v>0.98199284076690596</v>
      </c>
    </row>
    <row r="59" spans="1:16" x14ac:dyDescent="0.3">
      <c r="A59" s="7">
        <v>45939</v>
      </c>
      <c r="B59" s="6" t="s">
        <v>328</v>
      </c>
      <c r="C59" s="6" t="s">
        <v>329</v>
      </c>
      <c r="D59" s="6" t="s">
        <v>18</v>
      </c>
      <c r="E59" s="6">
        <v>2170</v>
      </c>
      <c r="F59" s="6">
        <v>36</v>
      </c>
      <c r="G59" s="6">
        <v>2206</v>
      </c>
      <c r="H59" s="8">
        <v>2.1700000000000001E-2</v>
      </c>
      <c r="I59" s="9">
        <v>1.8079E+16</v>
      </c>
      <c r="J59" s="6">
        <v>4690443951</v>
      </c>
      <c r="K59" s="6" t="s">
        <v>330</v>
      </c>
      <c r="L59" s="6" t="s">
        <v>331</v>
      </c>
      <c r="M59" s="6" t="s">
        <v>332</v>
      </c>
      <c r="N59" s="6" t="s">
        <v>333</v>
      </c>
      <c r="O59" s="6" t="s">
        <v>45</v>
      </c>
      <c r="P59" s="6">
        <v>0.95989745855331399</v>
      </c>
    </row>
    <row r="60" spans="1:16" x14ac:dyDescent="0.3">
      <c r="A60" s="7">
        <v>45951</v>
      </c>
      <c r="B60" s="6" t="s">
        <v>334</v>
      </c>
      <c r="C60" s="6" t="s">
        <v>323</v>
      </c>
      <c r="D60" s="6" t="s">
        <v>18</v>
      </c>
      <c r="E60" s="6">
        <v>2029</v>
      </c>
      <c r="F60" s="6">
        <v>161</v>
      </c>
      <c r="G60" s="6">
        <v>2190</v>
      </c>
      <c r="H60" s="8">
        <v>4.1999999999999997E-3</v>
      </c>
      <c r="I60" s="9">
        <v>1.81045E+16</v>
      </c>
      <c r="J60" s="6">
        <v>39289871539</v>
      </c>
      <c r="K60" s="6" t="s">
        <v>335</v>
      </c>
      <c r="L60" s="6" t="s">
        <v>336</v>
      </c>
      <c r="M60" s="6" t="s">
        <v>337</v>
      </c>
      <c r="N60" s="6" t="s">
        <v>338</v>
      </c>
      <c r="O60" s="6" t="s">
        <v>23</v>
      </c>
      <c r="P60" s="6">
        <v>0.98321658372878995</v>
      </c>
    </row>
    <row r="61" spans="1:16" x14ac:dyDescent="0.3">
      <c r="A61" s="7">
        <v>45957</v>
      </c>
      <c r="B61" s="6" t="s">
        <v>339</v>
      </c>
      <c r="C61" s="6" t="s">
        <v>340</v>
      </c>
      <c r="D61" s="6" t="s">
        <v>18</v>
      </c>
      <c r="E61" s="6">
        <v>1877</v>
      </c>
      <c r="F61" s="6">
        <v>259</v>
      </c>
      <c r="G61" s="6">
        <v>2136</v>
      </c>
      <c r="H61" s="8">
        <v>8.3000000000000001E-3</v>
      </c>
      <c r="I61" s="9">
        <v>1.78945E+16</v>
      </c>
      <c r="J61" s="6">
        <v>2206242099</v>
      </c>
      <c r="K61" s="6" t="s">
        <v>341</v>
      </c>
      <c r="L61" s="6" t="s">
        <v>342</v>
      </c>
      <c r="M61" s="6" t="s">
        <v>343</v>
      </c>
      <c r="N61" s="6" t="s">
        <v>344</v>
      </c>
      <c r="O61" s="6" t="s">
        <v>45</v>
      </c>
      <c r="P61" s="6">
        <v>0.84032255411148005</v>
      </c>
    </row>
    <row r="62" spans="1:16" x14ac:dyDescent="0.3">
      <c r="A62" s="7">
        <v>45952</v>
      </c>
      <c r="B62" s="6" t="s">
        <v>345</v>
      </c>
      <c r="C62" s="6" t="s">
        <v>346</v>
      </c>
      <c r="D62" s="6" t="s">
        <v>18</v>
      </c>
      <c r="E62" s="6">
        <v>1860</v>
      </c>
      <c r="F62" s="6">
        <v>244</v>
      </c>
      <c r="G62" s="6">
        <v>2104</v>
      </c>
      <c r="H62" s="8">
        <v>5.8999999999999999E-3</v>
      </c>
      <c r="I62" s="9">
        <v>1.80543E+16</v>
      </c>
      <c r="J62" s="6">
        <v>3411967657</v>
      </c>
      <c r="K62" s="6" t="s">
        <v>347</v>
      </c>
      <c r="L62" s="6" t="s">
        <v>348</v>
      </c>
      <c r="M62" s="6" t="s">
        <v>349</v>
      </c>
      <c r="N62" s="6" t="s">
        <v>350</v>
      </c>
      <c r="O62" s="6" t="s">
        <v>23</v>
      </c>
      <c r="P62" s="6">
        <v>0.61574310064315796</v>
      </c>
    </row>
    <row r="63" spans="1:16" x14ac:dyDescent="0.3">
      <c r="A63" s="7">
        <v>45954</v>
      </c>
      <c r="B63" s="6" t="s">
        <v>351</v>
      </c>
      <c r="C63" s="6" t="s">
        <v>17</v>
      </c>
      <c r="D63" s="6" t="s">
        <v>18</v>
      </c>
      <c r="E63" s="6">
        <v>1927</v>
      </c>
      <c r="F63" s="6">
        <v>81</v>
      </c>
      <c r="G63" s="6">
        <v>2008</v>
      </c>
      <c r="H63" s="8">
        <v>2.0899999999999998E-2</v>
      </c>
      <c r="I63" s="9">
        <v>1.80969E+16</v>
      </c>
      <c r="J63" s="6">
        <v>2251720016</v>
      </c>
      <c r="K63" s="6" t="s">
        <v>352</v>
      </c>
      <c r="L63" s="6" t="s">
        <v>353</v>
      </c>
      <c r="M63" s="6" t="s">
        <v>21</v>
      </c>
      <c r="N63" s="6" t="s">
        <v>354</v>
      </c>
      <c r="O63" s="6" t="s">
        <v>23</v>
      </c>
      <c r="P63" s="6">
        <v>0.67641502618789595</v>
      </c>
    </row>
    <row r="64" spans="1:16" x14ac:dyDescent="0.3">
      <c r="A64" s="7">
        <v>45953</v>
      </c>
      <c r="B64" s="6" t="s">
        <v>355</v>
      </c>
      <c r="C64" s="6" t="s">
        <v>356</v>
      </c>
      <c r="D64" s="6" t="s">
        <v>18</v>
      </c>
      <c r="E64" s="6">
        <v>1916</v>
      </c>
      <c r="F64" s="6">
        <v>85</v>
      </c>
      <c r="G64" s="6">
        <v>2001</v>
      </c>
      <c r="H64" s="8">
        <v>3.0000000000000001E-3</v>
      </c>
      <c r="I64" s="9">
        <v>1.78605E+16</v>
      </c>
      <c r="J64" s="6">
        <v>1556529644</v>
      </c>
      <c r="K64" s="6" t="s">
        <v>357</v>
      </c>
      <c r="L64" s="6" t="s">
        <v>358</v>
      </c>
      <c r="M64" s="6" t="s">
        <v>21</v>
      </c>
      <c r="N64" s="6" t="s">
        <v>359</v>
      </c>
      <c r="O64" s="6" t="s">
        <v>45</v>
      </c>
      <c r="P64" s="6">
        <v>0.81488722562789895</v>
      </c>
    </row>
    <row r="65" spans="1:16" x14ac:dyDescent="0.3">
      <c r="A65" s="7">
        <v>45939</v>
      </c>
      <c r="B65" s="6" t="s">
        <v>360</v>
      </c>
      <c r="C65" s="6" t="s">
        <v>361</v>
      </c>
      <c r="D65" s="6" t="s">
        <v>18</v>
      </c>
      <c r="E65" s="6">
        <v>1974</v>
      </c>
      <c r="F65" s="6">
        <v>1</v>
      </c>
      <c r="G65" s="6">
        <v>1975</v>
      </c>
      <c r="H65" s="8">
        <v>1.4E-3</v>
      </c>
      <c r="I65" s="9">
        <v>1.8077E+16</v>
      </c>
      <c r="J65" s="6">
        <v>1945961331</v>
      </c>
      <c r="K65" s="6" t="s">
        <v>362</v>
      </c>
      <c r="L65" s="6" t="s">
        <v>363</v>
      </c>
      <c r="M65" s="6" t="s">
        <v>364</v>
      </c>
      <c r="N65" s="6" t="s">
        <v>365</v>
      </c>
      <c r="O65" s="6" t="s">
        <v>45</v>
      </c>
      <c r="P65" s="6">
        <v>0.60157763957977295</v>
      </c>
    </row>
    <row r="66" spans="1:16" x14ac:dyDescent="0.3">
      <c r="A66" s="7">
        <v>45939</v>
      </c>
      <c r="B66" s="6" t="s">
        <v>366</v>
      </c>
      <c r="C66" s="6" t="s">
        <v>329</v>
      </c>
      <c r="D66" s="6" t="s">
        <v>18</v>
      </c>
      <c r="E66" s="6">
        <v>1926</v>
      </c>
      <c r="F66" s="6">
        <v>25</v>
      </c>
      <c r="G66" s="6">
        <v>1951</v>
      </c>
      <c r="H66" s="8">
        <v>1.9199999999999998E-2</v>
      </c>
      <c r="I66" s="9">
        <v>1.80003E+16</v>
      </c>
      <c r="J66" s="6">
        <v>4690443951</v>
      </c>
      <c r="K66" s="6" t="s">
        <v>367</v>
      </c>
      <c r="L66" s="6" t="s">
        <v>368</v>
      </c>
      <c r="M66" s="6" t="s">
        <v>332</v>
      </c>
      <c r="N66" s="6" t="s">
        <v>369</v>
      </c>
      <c r="O66" s="6" t="s">
        <v>45</v>
      </c>
      <c r="P66" s="6">
        <v>0.99151152372360196</v>
      </c>
    </row>
    <row r="67" spans="1:16" x14ac:dyDescent="0.3">
      <c r="A67" s="7">
        <v>45954</v>
      </c>
      <c r="B67" s="6" t="s">
        <v>370</v>
      </c>
      <c r="C67" s="6" t="s">
        <v>371</v>
      </c>
      <c r="D67" s="6" t="s">
        <v>18</v>
      </c>
      <c r="E67" s="6">
        <v>1776</v>
      </c>
      <c r="F67" s="6">
        <v>164</v>
      </c>
      <c r="G67" s="6">
        <v>1940</v>
      </c>
      <c r="H67" s="8">
        <v>4.1000000000000003E-3</v>
      </c>
      <c r="I67" s="9">
        <v>1.79108E+16</v>
      </c>
      <c r="J67" s="6">
        <v>263753332</v>
      </c>
      <c r="K67" s="6" t="s">
        <v>372</v>
      </c>
      <c r="L67" s="6" t="s">
        <v>373</v>
      </c>
      <c r="M67" s="6" t="s">
        <v>374</v>
      </c>
      <c r="N67" s="6" t="s">
        <v>375</v>
      </c>
      <c r="O67" s="6" t="s">
        <v>77</v>
      </c>
      <c r="P67" s="6">
        <v>0.76693105697631803</v>
      </c>
    </row>
    <row r="68" spans="1:16" x14ac:dyDescent="0.3">
      <c r="A68" s="7">
        <v>45953</v>
      </c>
      <c r="B68" s="6" t="s">
        <v>376</v>
      </c>
      <c r="C68" s="6" t="s">
        <v>377</v>
      </c>
      <c r="D68" s="6" t="s">
        <v>54</v>
      </c>
      <c r="E68" s="6">
        <v>1239</v>
      </c>
      <c r="F68" s="6">
        <v>420</v>
      </c>
      <c r="G68" s="6">
        <v>1880</v>
      </c>
      <c r="H68" s="8">
        <v>5.4000000000000003E-3</v>
      </c>
      <c r="I68" s="6" t="s">
        <v>378</v>
      </c>
      <c r="J68" s="6">
        <v>117118000000000</v>
      </c>
      <c r="K68" s="6" t="s">
        <v>379</v>
      </c>
      <c r="L68" s="6" t="s">
        <v>380</v>
      </c>
      <c r="M68" s="6" t="s">
        <v>381</v>
      </c>
      <c r="N68" s="6" t="s">
        <v>382</v>
      </c>
      <c r="O68" s="6" t="s">
        <v>23</v>
      </c>
      <c r="P68" s="6">
        <v>0.97066015005111606</v>
      </c>
    </row>
    <row r="69" spans="1:16" x14ac:dyDescent="0.3">
      <c r="A69" s="7">
        <v>45951</v>
      </c>
      <c r="B69" s="6" t="s">
        <v>383</v>
      </c>
      <c r="C69" s="6" t="s">
        <v>384</v>
      </c>
      <c r="D69" s="6" t="s">
        <v>18</v>
      </c>
      <c r="E69" s="6">
        <v>1751</v>
      </c>
      <c r="F69" s="6">
        <v>66</v>
      </c>
      <c r="G69" s="6">
        <v>1817</v>
      </c>
      <c r="H69" s="8">
        <v>1.6000000000000001E-3</v>
      </c>
      <c r="I69" s="9">
        <v>1.8128E+16</v>
      </c>
      <c r="J69" s="6">
        <v>38500221410</v>
      </c>
      <c r="K69" s="6" t="s">
        <v>385</v>
      </c>
      <c r="L69" s="6" t="s">
        <v>386</v>
      </c>
      <c r="M69" s="6" t="s">
        <v>21</v>
      </c>
      <c r="N69" s="6" t="s">
        <v>387</v>
      </c>
      <c r="O69" s="6" t="s">
        <v>23</v>
      </c>
      <c r="P69" s="6">
        <v>0.92803418636321999</v>
      </c>
    </row>
    <row r="70" spans="1:16" x14ac:dyDescent="0.3">
      <c r="A70" s="7">
        <v>45954</v>
      </c>
      <c r="B70" s="6" t="s">
        <v>388</v>
      </c>
      <c r="C70" s="6" t="s">
        <v>389</v>
      </c>
      <c r="D70" s="6" t="s">
        <v>18</v>
      </c>
      <c r="E70" s="6">
        <v>1289</v>
      </c>
      <c r="F70" s="6">
        <v>496</v>
      </c>
      <c r="G70" s="6">
        <v>1785</v>
      </c>
      <c r="H70" s="8">
        <v>1.4E-3</v>
      </c>
      <c r="I70" s="9">
        <v>1.80911E+16</v>
      </c>
      <c r="J70" s="6">
        <v>2112319749</v>
      </c>
      <c r="K70" s="6" t="s">
        <v>390</v>
      </c>
      <c r="L70" s="6" t="s">
        <v>391</v>
      </c>
      <c r="M70" s="6" t="s">
        <v>392</v>
      </c>
      <c r="N70" s="6" t="s">
        <v>393</v>
      </c>
      <c r="O70" s="6" t="s">
        <v>45</v>
      </c>
      <c r="P70" s="6">
        <v>0.98324155807495095</v>
      </c>
    </row>
    <row r="71" spans="1:16" x14ac:dyDescent="0.3">
      <c r="A71" s="7">
        <v>45956</v>
      </c>
      <c r="B71" s="6" t="s">
        <v>394</v>
      </c>
      <c r="C71" s="6" t="s">
        <v>144</v>
      </c>
      <c r="D71" s="6" t="s">
        <v>18</v>
      </c>
      <c r="E71" s="6">
        <v>1549</v>
      </c>
      <c r="F71" s="6">
        <v>196</v>
      </c>
      <c r="G71" s="6">
        <v>1745</v>
      </c>
      <c r="H71" s="8">
        <v>1.6299999999999999E-2</v>
      </c>
      <c r="I71" s="9">
        <v>1.80791E+16</v>
      </c>
      <c r="J71" s="6">
        <v>212887213</v>
      </c>
      <c r="K71" s="6" t="s">
        <v>395</v>
      </c>
      <c r="L71" s="6" t="s">
        <v>396</v>
      </c>
      <c r="M71" s="6" t="s">
        <v>397</v>
      </c>
      <c r="N71" s="6" t="s">
        <v>398</v>
      </c>
      <c r="O71" s="6" t="s">
        <v>45</v>
      </c>
      <c r="P71" s="6">
        <v>0.98240417242050104</v>
      </c>
    </row>
    <row r="72" spans="1:16" x14ac:dyDescent="0.3">
      <c r="A72" s="7">
        <v>45955</v>
      </c>
      <c r="B72" s="6" t="s">
        <v>399</v>
      </c>
      <c r="C72" s="6" t="s">
        <v>400</v>
      </c>
      <c r="D72" s="6" t="s">
        <v>18</v>
      </c>
      <c r="E72" s="6">
        <v>1433</v>
      </c>
      <c r="F72" s="6">
        <v>297</v>
      </c>
      <c r="G72" s="6">
        <v>1730</v>
      </c>
      <c r="H72" s="8">
        <v>1.6000000000000001E-3</v>
      </c>
      <c r="I72" s="9">
        <v>1.80449E+16</v>
      </c>
      <c r="J72" s="6">
        <v>4857774026</v>
      </c>
      <c r="K72" s="6" t="s">
        <v>401</v>
      </c>
      <c r="L72" s="6" t="s">
        <v>402</v>
      </c>
      <c r="M72" s="6" t="s">
        <v>21</v>
      </c>
      <c r="N72" s="6" t="s">
        <v>403</v>
      </c>
      <c r="O72" s="6" t="s">
        <v>23</v>
      </c>
      <c r="P72" s="6">
        <v>0.98256152868270796</v>
      </c>
    </row>
    <row r="73" spans="1:16" x14ac:dyDescent="0.3">
      <c r="A73" s="7">
        <v>45954</v>
      </c>
      <c r="B73" s="6" t="s">
        <v>404</v>
      </c>
      <c r="C73" s="6" t="s">
        <v>405</v>
      </c>
      <c r="D73" s="6" t="s">
        <v>18</v>
      </c>
      <c r="E73" s="6">
        <v>1613</v>
      </c>
      <c r="F73" s="6">
        <v>50</v>
      </c>
      <c r="G73" s="6">
        <v>1663</v>
      </c>
      <c r="H73" s="8">
        <v>1.38E-2</v>
      </c>
      <c r="I73" s="9">
        <v>1.791E+16</v>
      </c>
      <c r="J73" s="6">
        <v>1084117528</v>
      </c>
      <c r="K73" s="6" t="s">
        <v>406</v>
      </c>
      <c r="L73" s="6" t="s">
        <v>407</v>
      </c>
      <c r="M73" s="6" t="s">
        <v>21</v>
      </c>
      <c r="N73" s="6" t="s">
        <v>408</v>
      </c>
      <c r="O73" s="6" t="s">
        <v>23</v>
      </c>
      <c r="P73" s="6">
        <v>0.96131318807601895</v>
      </c>
    </row>
    <row r="74" spans="1:16" x14ac:dyDescent="0.3">
      <c r="A74" s="7">
        <v>45952</v>
      </c>
      <c r="B74" s="6" t="s">
        <v>409</v>
      </c>
      <c r="C74" s="6" t="s">
        <v>410</v>
      </c>
      <c r="D74" s="6" t="s">
        <v>54</v>
      </c>
      <c r="E74" s="6">
        <v>1134</v>
      </c>
      <c r="F74" s="6">
        <v>284</v>
      </c>
      <c r="G74" s="6">
        <v>1661</v>
      </c>
      <c r="H74" s="8">
        <v>6.7000000000000002E-3</v>
      </c>
      <c r="I74" s="6" t="s">
        <v>411</v>
      </c>
      <c r="J74" s="6">
        <v>168946000000000</v>
      </c>
      <c r="K74" s="6" t="s">
        <v>412</v>
      </c>
      <c r="L74" s="6" t="s">
        <v>413</v>
      </c>
      <c r="M74" s="6" t="s">
        <v>21</v>
      </c>
      <c r="N74" s="6" t="s">
        <v>414</v>
      </c>
      <c r="O74" s="6" t="s">
        <v>45</v>
      </c>
      <c r="P74" s="6">
        <v>0.67205208539962702</v>
      </c>
    </row>
    <row r="75" spans="1:16" x14ac:dyDescent="0.3">
      <c r="A75" s="7">
        <v>45954</v>
      </c>
      <c r="B75" s="6" t="s">
        <v>195</v>
      </c>
      <c r="C75" s="6" t="s">
        <v>415</v>
      </c>
      <c r="D75" s="6" t="s">
        <v>54</v>
      </c>
      <c r="E75" s="6">
        <v>948</v>
      </c>
      <c r="F75" s="6">
        <v>465</v>
      </c>
      <c r="G75" s="6">
        <v>1651</v>
      </c>
      <c r="H75" s="8">
        <v>8.9999999999999998E-4</v>
      </c>
      <c r="I75" s="6" t="s">
        <v>416</v>
      </c>
      <c r="J75" s="6">
        <v>227269000000</v>
      </c>
      <c r="K75" s="6" t="s">
        <v>417</v>
      </c>
      <c r="L75" s="6" t="s">
        <v>198</v>
      </c>
      <c r="M75" s="6" t="s">
        <v>199</v>
      </c>
      <c r="N75" s="6" t="s">
        <v>200</v>
      </c>
      <c r="O75" s="6" t="s">
        <v>23</v>
      </c>
      <c r="P75" s="6">
        <v>0.58166199922561601</v>
      </c>
    </row>
    <row r="76" spans="1:16" x14ac:dyDescent="0.3">
      <c r="A76" s="7">
        <v>45953</v>
      </c>
      <c r="B76" s="6" t="s">
        <v>418</v>
      </c>
      <c r="C76" s="6" t="s">
        <v>419</v>
      </c>
      <c r="D76" s="6" t="s">
        <v>18</v>
      </c>
      <c r="E76" s="6">
        <v>1494</v>
      </c>
      <c r="F76" s="6">
        <v>141</v>
      </c>
      <c r="G76" s="6">
        <v>1635</v>
      </c>
      <c r="H76" s="8">
        <v>8.8999999999999999E-3</v>
      </c>
      <c r="I76" s="9">
        <v>1.78639E+16</v>
      </c>
      <c r="J76" s="6">
        <v>47478396586</v>
      </c>
      <c r="K76" s="6" t="s">
        <v>420</v>
      </c>
      <c r="L76" s="6" t="s">
        <v>421</v>
      </c>
      <c r="M76" s="6" t="s">
        <v>422</v>
      </c>
      <c r="N76" s="6" t="s">
        <v>423</v>
      </c>
      <c r="O76" s="6" t="s">
        <v>23</v>
      </c>
      <c r="P76" s="6">
        <v>0.80042815208435003</v>
      </c>
    </row>
    <row r="77" spans="1:16" x14ac:dyDescent="0.3">
      <c r="A77" s="7">
        <v>45955</v>
      </c>
      <c r="B77" s="6" t="s">
        <v>424</v>
      </c>
      <c r="C77" s="6" t="s">
        <v>190</v>
      </c>
      <c r="D77" s="6" t="s">
        <v>18</v>
      </c>
      <c r="E77" s="6">
        <v>1333</v>
      </c>
      <c r="F77" s="6">
        <v>273</v>
      </c>
      <c r="G77" s="6">
        <v>1606</v>
      </c>
      <c r="H77" s="8">
        <v>4.7000000000000002E-3</v>
      </c>
      <c r="I77" s="9">
        <v>1.78785E+16</v>
      </c>
      <c r="J77" s="6">
        <v>2501583257</v>
      </c>
      <c r="K77" s="6" t="s">
        <v>425</v>
      </c>
      <c r="L77" s="6" t="s">
        <v>426</v>
      </c>
      <c r="M77" s="6" t="s">
        <v>427</v>
      </c>
      <c r="N77" s="6" t="s">
        <v>428</v>
      </c>
      <c r="O77" s="6" t="s">
        <v>23</v>
      </c>
      <c r="P77" s="6">
        <v>0.92654341459274203</v>
      </c>
    </row>
    <row r="78" spans="1:16" x14ac:dyDescent="0.3">
      <c r="A78" s="7">
        <v>45939</v>
      </c>
      <c r="B78" s="6" t="s">
        <v>429</v>
      </c>
      <c r="C78" s="6" t="s">
        <v>371</v>
      </c>
      <c r="D78" s="6" t="s">
        <v>18</v>
      </c>
      <c r="E78" s="6">
        <v>1503</v>
      </c>
      <c r="F78" s="6">
        <v>80</v>
      </c>
      <c r="G78" s="6">
        <v>1583</v>
      </c>
      <c r="H78" s="8">
        <v>3.3999999999999998E-3</v>
      </c>
      <c r="I78" s="9">
        <v>1.80562E+16</v>
      </c>
      <c r="J78" s="6">
        <v>263753332</v>
      </c>
      <c r="K78" s="6" t="s">
        <v>430</v>
      </c>
      <c r="L78" s="6" t="s">
        <v>431</v>
      </c>
      <c r="M78" s="6" t="s">
        <v>432</v>
      </c>
      <c r="N78" s="6" t="s">
        <v>433</v>
      </c>
      <c r="O78" s="6" t="s">
        <v>23</v>
      </c>
      <c r="P78" s="6">
        <v>0.98374742269515902</v>
      </c>
    </row>
    <row r="79" spans="1:16" x14ac:dyDescent="0.3">
      <c r="A79" s="7">
        <v>45953</v>
      </c>
      <c r="B79" s="6" t="s">
        <v>434</v>
      </c>
      <c r="C79" s="6" t="s">
        <v>435</v>
      </c>
      <c r="D79" s="6" t="s">
        <v>18</v>
      </c>
      <c r="E79" s="6">
        <v>1417</v>
      </c>
      <c r="F79" s="6">
        <v>138</v>
      </c>
      <c r="G79" s="6">
        <v>1555</v>
      </c>
      <c r="H79" s="8">
        <v>1.5699999999999999E-2</v>
      </c>
      <c r="I79" s="9">
        <v>1.83616E+16</v>
      </c>
      <c r="J79" s="6">
        <v>2867197154</v>
      </c>
      <c r="K79" s="6" t="s">
        <v>436</v>
      </c>
      <c r="L79" s="6" t="s">
        <v>437</v>
      </c>
      <c r="M79" s="6" t="s">
        <v>438</v>
      </c>
      <c r="N79" s="6" t="s">
        <v>439</v>
      </c>
      <c r="O79" s="6" t="s">
        <v>77</v>
      </c>
      <c r="P79" s="6">
        <v>0.89694601297378496</v>
      </c>
    </row>
    <row r="80" spans="1:16" x14ac:dyDescent="0.3">
      <c r="A80" s="7">
        <v>45952</v>
      </c>
      <c r="B80" s="6" t="s">
        <v>440</v>
      </c>
      <c r="C80" s="6" t="s">
        <v>410</v>
      </c>
      <c r="D80" s="6" t="s">
        <v>54</v>
      </c>
      <c r="E80" s="6">
        <v>925</v>
      </c>
      <c r="F80" s="6">
        <v>369</v>
      </c>
      <c r="G80" s="6">
        <v>1544</v>
      </c>
      <c r="H80" s="8">
        <v>6.3E-3</v>
      </c>
      <c r="I80" s="6" t="s">
        <v>441</v>
      </c>
      <c r="J80" s="6">
        <v>168946000000000</v>
      </c>
      <c r="K80" s="6" t="s">
        <v>442</v>
      </c>
      <c r="L80" s="6" t="s">
        <v>443</v>
      </c>
      <c r="M80" s="6" t="s">
        <v>21</v>
      </c>
      <c r="N80" s="6" t="s">
        <v>444</v>
      </c>
      <c r="O80" s="6" t="s">
        <v>23</v>
      </c>
      <c r="P80" s="6">
        <v>0.86638402938842696</v>
      </c>
    </row>
    <row r="81" spans="1:16" x14ac:dyDescent="0.3">
      <c r="A81" s="7">
        <v>45950</v>
      </c>
      <c r="B81" s="6" t="s">
        <v>445</v>
      </c>
      <c r="C81" s="6" t="s">
        <v>175</v>
      </c>
      <c r="D81" s="6" t="s">
        <v>54</v>
      </c>
      <c r="E81" s="6">
        <v>1207</v>
      </c>
      <c r="F81" s="6">
        <v>128</v>
      </c>
      <c r="G81" s="6">
        <v>1489</v>
      </c>
      <c r="H81" s="8">
        <v>8.3000000000000001E-3</v>
      </c>
      <c r="I81" s="6" t="s">
        <v>446</v>
      </c>
      <c r="J81" s="6">
        <v>2906880000000000</v>
      </c>
      <c r="K81" s="6" t="s">
        <v>447</v>
      </c>
      <c r="L81" s="6" t="s">
        <v>177</v>
      </c>
      <c r="M81" s="6" t="s">
        <v>21</v>
      </c>
      <c r="N81" s="6" t="s">
        <v>179</v>
      </c>
      <c r="O81" s="6" t="s">
        <v>23</v>
      </c>
      <c r="P81" s="6">
        <v>0.93445414304733199</v>
      </c>
    </row>
    <row r="82" spans="1:16" x14ac:dyDescent="0.3">
      <c r="A82" s="7">
        <v>45953</v>
      </c>
      <c r="B82" s="6" t="s">
        <v>448</v>
      </c>
      <c r="C82" s="6" t="s">
        <v>449</v>
      </c>
      <c r="D82" s="6" t="s">
        <v>18</v>
      </c>
      <c r="E82" s="6">
        <v>1360</v>
      </c>
      <c r="F82" s="6">
        <v>107</v>
      </c>
      <c r="G82" s="6">
        <v>1467</v>
      </c>
      <c r="H82" s="8">
        <v>1.0200000000000001E-2</v>
      </c>
      <c r="I82" s="9">
        <v>1.79516E+16</v>
      </c>
      <c r="J82" s="6">
        <v>34208385470</v>
      </c>
      <c r="K82" s="6" t="s">
        <v>450</v>
      </c>
      <c r="L82" s="6" t="s">
        <v>451</v>
      </c>
      <c r="M82" s="6" t="s">
        <v>21</v>
      </c>
      <c r="N82" s="6" t="s">
        <v>452</v>
      </c>
      <c r="O82" s="6" t="s">
        <v>23</v>
      </c>
      <c r="P82" s="6">
        <v>0.94570505619048995</v>
      </c>
    </row>
    <row r="83" spans="1:16" x14ac:dyDescent="0.3">
      <c r="A83" s="7">
        <v>45957</v>
      </c>
      <c r="B83" s="6" t="s">
        <v>453</v>
      </c>
      <c r="C83" s="6" t="s">
        <v>454</v>
      </c>
      <c r="D83" s="6" t="s">
        <v>18</v>
      </c>
      <c r="E83" s="6">
        <v>1058</v>
      </c>
      <c r="F83" s="6">
        <v>408</v>
      </c>
      <c r="G83" s="6">
        <v>1466</v>
      </c>
      <c r="H83" s="8">
        <v>5.1000000000000004E-3</v>
      </c>
      <c r="I83" s="9">
        <v>1.80844E+16</v>
      </c>
      <c r="J83" s="6">
        <v>4323969563</v>
      </c>
      <c r="K83" s="6" t="s">
        <v>455</v>
      </c>
      <c r="L83" s="6" t="s">
        <v>456</v>
      </c>
      <c r="M83" s="6" t="s">
        <v>21</v>
      </c>
      <c r="N83" s="6" t="s">
        <v>457</v>
      </c>
      <c r="O83" s="6" t="s">
        <v>77</v>
      </c>
      <c r="P83" s="6">
        <v>0.59947752952575595</v>
      </c>
    </row>
    <row r="84" spans="1:16" x14ac:dyDescent="0.3">
      <c r="A84" s="7">
        <v>45953</v>
      </c>
      <c r="B84" s="6" t="s">
        <v>458</v>
      </c>
      <c r="C84" s="6" t="s">
        <v>340</v>
      </c>
      <c r="D84" s="6" t="s">
        <v>18</v>
      </c>
      <c r="E84" s="6">
        <v>1358</v>
      </c>
      <c r="F84" s="6">
        <v>89</v>
      </c>
      <c r="G84" s="6">
        <v>1447</v>
      </c>
      <c r="H84" s="8">
        <v>5.5999999999999999E-3</v>
      </c>
      <c r="I84" s="9">
        <v>1.80948E+16</v>
      </c>
      <c r="J84" s="6">
        <v>2206242099</v>
      </c>
      <c r="K84" s="6" t="s">
        <v>459</v>
      </c>
      <c r="L84" s="6" t="s">
        <v>460</v>
      </c>
      <c r="M84" s="6" t="s">
        <v>343</v>
      </c>
      <c r="N84" s="6" t="s">
        <v>461</v>
      </c>
      <c r="O84" s="6" t="s">
        <v>23</v>
      </c>
      <c r="P84" s="6">
        <v>0.72461712360382002</v>
      </c>
    </row>
    <row r="85" spans="1:16" x14ac:dyDescent="0.3">
      <c r="A85" s="7">
        <v>45953</v>
      </c>
      <c r="B85" s="6" t="s">
        <v>462</v>
      </c>
      <c r="C85" s="6" t="s">
        <v>463</v>
      </c>
      <c r="D85" s="6" t="s">
        <v>18</v>
      </c>
      <c r="E85" s="6">
        <v>1307</v>
      </c>
      <c r="F85" s="6">
        <v>139</v>
      </c>
      <c r="G85" s="6">
        <v>1446</v>
      </c>
      <c r="H85" s="8">
        <v>7.4000000000000003E-3</v>
      </c>
      <c r="I85" s="9">
        <v>1.80277E+16</v>
      </c>
      <c r="J85" s="6">
        <v>3290848283</v>
      </c>
      <c r="K85" s="6" t="s">
        <v>464</v>
      </c>
      <c r="L85" s="6" t="s">
        <v>465</v>
      </c>
      <c r="M85" s="6" t="s">
        <v>466</v>
      </c>
      <c r="N85" s="6" t="s">
        <v>467</v>
      </c>
      <c r="O85" s="6" t="s">
        <v>23</v>
      </c>
      <c r="P85" s="6">
        <v>0.67698669433593694</v>
      </c>
    </row>
    <row r="86" spans="1:16" x14ac:dyDescent="0.3">
      <c r="A86" s="7">
        <v>45954</v>
      </c>
      <c r="B86" s="6" t="s">
        <v>468</v>
      </c>
      <c r="C86" s="6" t="s">
        <v>469</v>
      </c>
      <c r="D86" s="6" t="s">
        <v>54</v>
      </c>
      <c r="E86" s="6">
        <v>396</v>
      </c>
      <c r="F86" s="6">
        <v>607</v>
      </c>
      <c r="G86" s="6">
        <v>1366</v>
      </c>
      <c r="H86" s="8">
        <v>2.9999999999999997E-4</v>
      </c>
      <c r="I86" s="6" t="s">
        <v>470</v>
      </c>
      <c r="J86" s="6">
        <v>374777000000</v>
      </c>
      <c r="K86" s="6" t="s">
        <v>471</v>
      </c>
      <c r="L86" s="6" t="s">
        <v>472</v>
      </c>
      <c r="M86" s="6" t="s">
        <v>21</v>
      </c>
      <c r="N86" s="6" t="s">
        <v>473</v>
      </c>
      <c r="O86" s="6" t="s">
        <v>23</v>
      </c>
      <c r="P86" s="6">
        <v>0.98002588748931796</v>
      </c>
    </row>
    <row r="87" spans="1:16" x14ac:dyDescent="0.3">
      <c r="A87" s="7">
        <v>45948</v>
      </c>
      <c r="B87" s="6" t="s">
        <v>474</v>
      </c>
      <c r="C87" s="6" t="s">
        <v>371</v>
      </c>
      <c r="D87" s="6" t="s">
        <v>18</v>
      </c>
      <c r="E87" s="6">
        <v>1224</v>
      </c>
      <c r="F87" s="6">
        <v>117</v>
      </c>
      <c r="G87" s="6">
        <v>1341</v>
      </c>
      <c r="H87" s="8">
        <v>2.8E-3</v>
      </c>
      <c r="I87" s="9">
        <v>1.81199E+16</v>
      </c>
      <c r="J87" s="6">
        <v>263753332</v>
      </c>
      <c r="K87" s="6" t="s">
        <v>475</v>
      </c>
      <c r="L87" s="6" t="s">
        <v>476</v>
      </c>
      <c r="M87" s="6" t="s">
        <v>477</v>
      </c>
      <c r="N87" s="6" t="s">
        <v>478</v>
      </c>
      <c r="O87" s="6" t="s">
        <v>23</v>
      </c>
      <c r="P87" s="6">
        <v>0.97409433126449496</v>
      </c>
    </row>
    <row r="88" spans="1:16" x14ac:dyDescent="0.3">
      <c r="A88" s="7">
        <v>45954</v>
      </c>
      <c r="B88" s="6" t="s">
        <v>479</v>
      </c>
      <c r="C88" s="6" t="s">
        <v>480</v>
      </c>
      <c r="D88" s="6" t="s">
        <v>18</v>
      </c>
      <c r="E88" s="6">
        <v>1267</v>
      </c>
      <c r="F88" s="6">
        <v>42</v>
      </c>
      <c r="G88" s="6">
        <v>1309</v>
      </c>
      <c r="H88" s="8">
        <v>2.7000000000000001E-3</v>
      </c>
      <c r="I88" s="9">
        <v>1.80833E+16</v>
      </c>
      <c r="J88" s="6">
        <v>176092297</v>
      </c>
      <c r="K88" s="6" t="s">
        <v>481</v>
      </c>
      <c r="L88" s="6" t="s">
        <v>482</v>
      </c>
      <c r="M88" s="6" t="s">
        <v>483</v>
      </c>
      <c r="N88" s="6" t="s">
        <v>484</v>
      </c>
      <c r="O88" s="6" t="s">
        <v>45</v>
      </c>
      <c r="P88" s="6">
        <v>0.96976310014724698</v>
      </c>
    </row>
    <row r="89" spans="1:16" x14ac:dyDescent="0.3">
      <c r="A89" s="7">
        <v>45949</v>
      </c>
      <c r="B89" s="6" t="s">
        <v>485</v>
      </c>
      <c r="C89" s="6" t="s">
        <v>486</v>
      </c>
      <c r="D89" s="6" t="s">
        <v>18</v>
      </c>
      <c r="E89" s="6">
        <v>1274</v>
      </c>
      <c r="F89" s="6">
        <v>13</v>
      </c>
      <c r="G89" s="6">
        <v>1287</v>
      </c>
      <c r="H89" s="8">
        <v>8.0999999999999996E-3</v>
      </c>
      <c r="I89" s="9">
        <v>1.7923E+16</v>
      </c>
      <c r="J89" s="6">
        <v>551217937</v>
      </c>
      <c r="K89" s="6" t="s">
        <v>487</v>
      </c>
      <c r="L89" s="6" t="s">
        <v>488</v>
      </c>
      <c r="M89" s="6" t="s">
        <v>21</v>
      </c>
      <c r="N89" s="6" t="s">
        <v>489</v>
      </c>
      <c r="O89" s="6" t="s">
        <v>23</v>
      </c>
      <c r="P89" s="6">
        <v>0.97674357891082697</v>
      </c>
    </row>
    <row r="90" spans="1:16" x14ac:dyDescent="0.3">
      <c r="A90" s="7">
        <v>45953</v>
      </c>
      <c r="B90" s="6" t="s">
        <v>490</v>
      </c>
      <c r="C90" s="6" t="s">
        <v>491</v>
      </c>
      <c r="D90" s="6" t="s">
        <v>18</v>
      </c>
      <c r="E90" s="6">
        <v>1124</v>
      </c>
      <c r="F90" s="6">
        <v>136</v>
      </c>
      <c r="G90" s="6">
        <v>1260</v>
      </c>
      <c r="H90" s="8">
        <v>4.5999999999999999E-3</v>
      </c>
      <c r="I90" s="9">
        <v>1.80886E+16</v>
      </c>
      <c r="J90" s="6">
        <v>609924584</v>
      </c>
      <c r="K90" s="6" t="s">
        <v>492</v>
      </c>
      <c r="L90" s="6" t="s">
        <v>493</v>
      </c>
      <c r="M90" s="6" t="s">
        <v>494</v>
      </c>
      <c r="N90" s="6" t="s">
        <v>495</v>
      </c>
      <c r="O90" s="6" t="s">
        <v>23</v>
      </c>
      <c r="P90" s="6">
        <v>0.66010648012161199</v>
      </c>
    </row>
    <row r="91" spans="1:16" x14ac:dyDescent="0.3">
      <c r="A91" s="7">
        <v>45940</v>
      </c>
      <c r="B91" s="6" t="s">
        <v>496</v>
      </c>
      <c r="C91" s="6" t="s">
        <v>497</v>
      </c>
      <c r="D91" s="6" t="s">
        <v>18</v>
      </c>
      <c r="E91" s="6">
        <v>1253</v>
      </c>
      <c r="F91" s="6">
        <v>3</v>
      </c>
      <c r="G91" s="6">
        <v>1256</v>
      </c>
      <c r="H91" s="8">
        <v>4.4000000000000003E-3</v>
      </c>
      <c r="I91" s="9">
        <v>1.85314E+16</v>
      </c>
      <c r="J91" s="6">
        <v>8576370623</v>
      </c>
      <c r="K91" s="6" t="s">
        <v>498</v>
      </c>
      <c r="L91" s="6" t="s">
        <v>499</v>
      </c>
      <c r="M91" s="6" t="s">
        <v>21</v>
      </c>
      <c r="N91" s="6" t="s">
        <v>500</v>
      </c>
      <c r="O91" s="6" t="s">
        <v>23</v>
      </c>
      <c r="P91" s="6">
        <v>0.96733653545379605</v>
      </c>
    </row>
    <row r="92" spans="1:16" x14ac:dyDescent="0.3">
      <c r="A92" s="7">
        <v>45953</v>
      </c>
      <c r="B92" s="6" t="s">
        <v>501</v>
      </c>
      <c r="C92" s="6" t="s">
        <v>502</v>
      </c>
      <c r="D92" s="6" t="s">
        <v>18</v>
      </c>
      <c r="E92" s="6">
        <v>1103</v>
      </c>
      <c r="F92" s="6">
        <v>149</v>
      </c>
      <c r="G92" s="6">
        <v>1252</v>
      </c>
      <c r="H92" s="8">
        <v>2.5999999999999999E-3</v>
      </c>
      <c r="I92" s="9">
        <v>1.80633E+16</v>
      </c>
      <c r="J92" s="6">
        <v>9310720489</v>
      </c>
      <c r="K92" s="6" t="s">
        <v>503</v>
      </c>
      <c r="L92" s="6" t="s">
        <v>504</v>
      </c>
      <c r="M92" s="6" t="s">
        <v>21</v>
      </c>
      <c r="N92" s="6" t="s">
        <v>505</v>
      </c>
      <c r="O92" s="6" t="s">
        <v>23</v>
      </c>
      <c r="P92" s="6">
        <v>0.91724264621734597</v>
      </c>
    </row>
    <row r="93" spans="1:16" x14ac:dyDescent="0.3">
      <c r="A93" s="7">
        <v>45955</v>
      </c>
      <c r="B93" s="6" t="s">
        <v>506</v>
      </c>
      <c r="C93" s="6" t="s">
        <v>144</v>
      </c>
      <c r="D93" s="6" t="s">
        <v>18</v>
      </c>
      <c r="E93" s="6">
        <v>1153</v>
      </c>
      <c r="F93" s="6">
        <v>75</v>
      </c>
      <c r="G93" s="6">
        <v>1228</v>
      </c>
      <c r="H93" s="8">
        <v>1.15E-2</v>
      </c>
      <c r="I93" s="9">
        <v>1.78912E+16</v>
      </c>
      <c r="J93" s="6">
        <v>212887213</v>
      </c>
      <c r="K93" s="6" t="s">
        <v>507</v>
      </c>
      <c r="L93" s="6" t="s">
        <v>508</v>
      </c>
      <c r="M93" s="6" t="s">
        <v>509</v>
      </c>
      <c r="N93" s="6" t="s">
        <v>510</v>
      </c>
      <c r="O93" s="6" t="s">
        <v>45</v>
      </c>
      <c r="P93" s="6">
        <v>0.93963295221328702</v>
      </c>
    </row>
    <row r="94" spans="1:16" x14ac:dyDescent="0.3">
      <c r="A94" s="7">
        <v>45952</v>
      </c>
      <c r="B94" s="6" t="s">
        <v>511</v>
      </c>
      <c r="C94" s="6" t="s">
        <v>512</v>
      </c>
      <c r="D94" s="6" t="s">
        <v>18</v>
      </c>
      <c r="E94" s="6">
        <v>984</v>
      </c>
      <c r="F94" s="6">
        <v>192</v>
      </c>
      <c r="G94" s="6">
        <v>1176</v>
      </c>
      <c r="H94" s="8">
        <v>5.4999999999999997E-3</v>
      </c>
      <c r="I94" s="9">
        <v>1.81863E+16</v>
      </c>
      <c r="J94" s="6">
        <v>36870228995</v>
      </c>
      <c r="K94" s="6" t="s">
        <v>513</v>
      </c>
      <c r="L94" s="6" t="s">
        <v>514</v>
      </c>
      <c r="M94" s="6" t="s">
        <v>21</v>
      </c>
      <c r="N94" s="6" t="s">
        <v>515</v>
      </c>
      <c r="O94" s="6" t="s">
        <v>23</v>
      </c>
      <c r="P94" s="6">
        <v>0.65912771224975497</v>
      </c>
    </row>
    <row r="95" spans="1:16" x14ac:dyDescent="0.3">
      <c r="A95" s="7">
        <v>45957</v>
      </c>
      <c r="B95" s="6" t="s">
        <v>516</v>
      </c>
      <c r="C95" s="6" t="s">
        <v>135</v>
      </c>
      <c r="D95" s="6" t="s">
        <v>18</v>
      </c>
      <c r="E95" s="6">
        <v>1164</v>
      </c>
      <c r="F95" s="6">
        <v>0</v>
      </c>
      <c r="G95" s="6">
        <v>1164</v>
      </c>
      <c r="H95" s="8">
        <v>4.4999999999999997E-3</v>
      </c>
      <c r="I95" s="9">
        <v>1.79876E+16</v>
      </c>
      <c r="J95" s="6">
        <v>204256768</v>
      </c>
      <c r="K95" s="6" t="s">
        <v>517</v>
      </c>
      <c r="L95" s="6" t="s">
        <v>518</v>
      </c>
      <c r="M95" s="6" t="s">
        <v>21</v>
      </c>
      <c r="N95" s="6" t="s">
        <v>519</v>
      </c>
      <c r="O95" s="6" t="s">
        <v>23</v>
      </c>
      <c r="P95" s="6">
        <v>0.89728385210037198</v>
      </c>
    </row>
    <row r="96" spans="1:16" x14ac:dyDescent="0.3">
      <c r="A96" s="7">
        <v>45953</v>
      </c>
      <c r="B96" s="6" t="s">
        <v>520</v>
      </c>
      <c r="C96" s="6" t="s">
        <v>67</v>
      </c>
      <c r="D96" s="6" t="s">
        <v>18</v>
      </c>
      <c r="E96" s="6">
        <v>1013</v>
      </c>
      <c r="F96" s="6">
        <v>119</v>
      </c>
      <c r="G96" s="6">
        <v>1132</v>
      </c>
      <c r="H96" s="8">
        <v>1.6000000000000001E-3</v>
      </c>
      <c r="I96" s="9">
        <v>1.78431E+16</v>
      </c>
      <c r="J96" s="6">
        <v>1495633459</v>
      </c>
      <c r="K96" s="6" t="s">
        <v>521</v>
      </c>
      <c r="L96" s="6" t="s">
        <v>522</v>
      </c>
      <c r="M96" s="6" t="s">
        <v>523</v>
      </c>
      <c r="N96" s="6" t="s">
        <v>524</v>
      </c>
      <c r="O96" s="6" t="s">
        <v>77</v>
      </c>
      <c r="P96" s="6">
        <v>0.64002066850662198</v>
      </c>
    </row>
    <row r="97" spans="1:16" x14ac:dyDescent="0.3">
      <c r="A97" s="7">
        <v>45954</v>
      </c>
      <c r="B97" s="6" t="s">
        <v>225</v>
      </c>
      <c r="C97" s="6" t="s">
        <v>525</v>
      </c>
      <c r="D97" s="6" t="s">
        <v>18</v>
      </c>
      <c r="E97" s="6">
        <v>829</v>
      </c>
      <c r="F97" s="6">
        <v>295</v>
      </c>
      <c r="G97" s="6">
        <v>1124</v>
      </c>
      <c r="H97" s="8">
        <v>2.9000000000000001E-2</v>
      </c>
      <c r="I97" s="9">
        <v>1.81607E+16</v>
      </c>
      <c r="J97" s="6">
        <v>50132340678</v>
      </c>
      <c r="K97" s="6" t="s">
        <v>526</v>
      </c>
      <c r="L97" s="6" t="s">
        <v>227</v>
      </c>
      <c r="M97" s="6" t="s">
        <v>21</v>
      </c>
      <c r="N97" s="6" t="s">
        <v>228</v>
      </c>
      <c r="O97" s="6" t="s">
        <v>45</v>
      </c>
      <c r="P97" s="6">
        <v>0.98674064874649003</v>
      </c>
    </row>
    <row r="98" spans="1:16" x14ac:dyDescent="0.3">
      <c r="A98" s="7">
        <v>45947</v>
      </c>
      <c r="B98" s="6" t="s">
        <v>527</v>
      </c>
      <c r="C98" s="6" t="s">
        <v>528</v>
      </c>
      <c r="D98" s="6" t="s">
        <v>18</v>
      </c>
      <c r="E98" s="6">
        <v>1095</v>
      </c>
      <c r="F98" s="6">
        <v>6</v>
      </c>
      <c r="G98" s="6">
        <v>1101</v>
      </c>
      <c r="H98" s="8">
        <v>8.6E-3</v>
      </c>
      <c r="I98" s="9">
        <v>1.78902E+16</v>
      </c>
      <c r="J98" s="6">
        <v>3154486890</v>
      </c>
      <c r="K98" s="6" t="s">
        <v>529</v>
      </c>
      <c r="L98" s="6" t="s">
        <v>530</v>
      </c>
      <c r="M98" s="6" t="s">
        <v>531</v>
      </c>
      <c r="N98" s="6" t="s">
        <v>532</v>
      </c>
      <c r="O98" s="6" t="s">
        <v>45</v>
      </c>
      <c r="P98" s="6">
        <v>0.65266609191894498</v>
      </c>
    </row>
    <row r="99" spans="1:16" x14ac:dyDescent="0.3">
      <c r="A99" s="7">
        <v>45953</v>
      </c>
      <c r="B99" s="6" t="s">
        <v>533</v>
      </c>
      <c r="C99" s="6" t="s">
        <v>534</v>
      </c>
      <c r="D99" s="6" t="s">
        <v>18</v>
      </c>
      <c r="E99" s="6">
        <v>1018</v>
      </c>
      <c r="F99" s="6">
        <v>81</v>
      </c>
      <c r="G99" s="6">
        <v>1099</v>
      </c>
      <c r="H99" s="8">
        <v>2.8E-3</v>
      </c>
      <c r="I99" s="9">
        <v>1.79293E+16</v>
      </c>
      <c r="J99" s="6">
        <v>2707974839</v>
      </c>
      <c r="K99" s="6" t="s">
        <v>535</v>
      </c>
      <c r="L99" s="6" t="s">
        <v>536</v>
      </c>
      <c r="M99" s="6" t="s">
        <v>21</v>
      </c>
      <c r="N99" s="6" t="s">
        <v>537</v>
      </c>
      <c r="O99" s="6" t="s">
        <v>23</v>
      </c>
      <c r="P99" s="6">
        <v>0.873174488544464</v>
      </c>
    </row>
    <row r="100" spans="1:16" x14ac:dyDescent="0.3">
      <c r="A100" s="7">
        <v>45953</v>
      </c>
      <c r="B100" s="6" t="s">
        <v>35</v>
      </c>
      <c r="C100" s="6" t="s">
        <v>538</v>
      </c>
      <c r="D100" s="6" t="s">
        <v>18</v>
      </c>
      <c r="E100" s="6">
        <v>1046</v>
      </c>
      <c r="F100" s="6">
        <v>36</v>
      </c>
      <c r="G100" s="6">
        <v>1082</v>
      </c>
      <c r="H100" s="8">
        <v>3.5999999999999999E-3</v>
      </c>
      <c r="I100" s="9">
        <v>1.84293E+16</v>
      </c>
      <c r="J100" s="6">
        <v>3099001169</v>
      </c>
      <c r="K100" s="6" t="s">
        <v>539</v>
      </c>
      <c r="L100" s="6" t="s">
        <v>38</v>
      </c>
      <c r="M100" s="6" t="s">
        <v>21</v>
      </c>
      <c r="N100" s="6" t="s">
        <v>39</v>
      </c>
      <c r="O100" s="6" t="s">
        <v>23</v>
      </c>
      <c r="P100" s="6">
        <v>0.83750879764556796</v>
      </c>
    </row>
    <row r="101" spans="1:16" x14ac:dyDescent="0.3">
      <c r="A101" s="7">
        <v>45954</v>
      </c>
      <c r="B101" s="6" t="s">
        <v>540</v>
      </c>
      <c r="C101" s="6" t="s">
        <v>541</v>
      </c>
      <c r="D101" s="6" t="s">
        <v>18</v>
      </c>
      <c r="E101" s="6">
        <v>1012</v>
      </c>
      <c r="F101" s="6">
        <v>42</v>
      </c>
      <c r="G101" s="6">
        <v>1054</v>
      </c>
      <c r="H101" s="8">
        <v>1.6999999999999999E-3</v>
      </c>
      <c r="I101" s="9">
        <v>1.8064E+16</v>
      </c>
      <c r="J101" s="6">
        <v>1908175618</v>
      </c>
      <c r="K101" s="6" t="s">
        <v>542</v>
      </c>
      <c r="L101" s="6" t="s">
        <v>543</v>
      </c>
      <c r="M101" s="6" t="s">
        <v>544</v>
      </c>
      <c r="N101" s="6" t="s">
        <v>545</v>
      </c>
      <c r="O101" s="6" t="s">
        <v>23</v>
      </c>
      <c r="P101" s="6">
        <v>0.72647124528884799</v>
      </c>
    </row>
    <row r="102" spans="1:16" x14ac:dyDescent="0.3">
      <c r="A102" s="7">
        <v>45953</v>
      </c>
      <c r="B102" s="6" t="s">
        <v>546</v>
      </c>
      <c r="C102" s="6" t="s">
        <v>245</v>
      </c>
      <c r="D102" s="6" t="s">
        <v>54</v>
      </c>
      <c r="E102" s="6">
        <v>539</v>
      </c>
      <c r="F102" s="6">
        <v>274</v>
      </c>
      <c r="G102" s="6">
        <v>1005</v>
      </c>
      <c r="H102" s="8">
        <v>2.9999999999999997E-4</v>
      </c>
      <c r="I102" s="6" t="s">
        <v>547</v>
      </c>
      <c r="J102" s="6">
        <v>101747000000000</v>
      </c>
      <c r="K102" s="6" t="s">
        <v>548</v>
      </c>
      <c r="L102" s="6" t="s">
        <v>549</v>
      </c>
      <c r="M102" s="6" t="s">
        <v>21</v>
      </c>
      <c r="N102" s="6" t="s">
        <v>550</v>
      </c>
      <c r="O102" s="6" t="s">
        <v>23</v>
      </c>
      <c r="P102" s="6">
        <v>0.98320448398589999</v>
      </c>
    </row>
    <row r="103" spans="1:16" x14ac:dyDescent="0.3">
      <c r="A103" s="7">
        <v>45956</v>
      </c>
      <c r="B103" s="6" t="s">
        <v>551</v>
      </c>
      <c r="C103" s="6" t="s">
        <v>552</v>
      </c>
      <c r="D103" s="6" t="s">
        <v>54</v>
      </c>
      <c r="E103" s="6">
        <v>273</v>
      </c>
      <c r="F103" s="6">
        <v>438</v>
      </c>
      <c r="G103" s="6">
        <v>886</v>
      </c>
      <c r="H103" s="8">
        <v>8.0000000000000004E-4</v>
      </c>
      <c r="I103" s="6" t="s">
        <v>553</v>
      </c>
      <c r="J103" s="6">
        <v>177892000000000</v>
      </c>
      <c r="K103" s="6" t="s">
        <v>554</v>
      </c>
      <c r="L103" s="6" t="s">
        <v>555</v>
      </c>
      <c r="M103" s="6" t="s">
        <v>21</v>
      </c>
      <c r="N103" s="6" t="s">
        <v>556</v>
      </c>
      <c r="O103" s="6" t="s">
        <v>23</v>
      </c>
      <c r="P103" s="6">
        <v>0.96751195192337003</v>
      </c>
    </row>
    <row r="104" spans="1:16" x14ac:dyDescent="0.3">
      <c r="A104" s="7">
        <v>45955</v>
      </c>
      <c r="B104" s="6" t="s">
        <v>557</v>
      </c>
      <c r="C104" s="6" t="s">
        <v>558</v>
      </c>
      <c r="D104" s="6" t="s">
        <v>18</v>
      </c>
      <c r="E104" s="6">
        <v>685</v>
      </c>
      <c r="F104" s="6">
        <v>163</v>
      </c>
      <c r="G104" s="6">
        <v>848</v>
      </c>
      <c r="H104" s="8">
        <v>1.6999999999999999E-3</v>
      </c>
      <c r="I104" s="9">
        <v>1.80583E+16</v>
      </c>
      <c r="J104" s="6">
        <v>5110376634</v>
      </c>
      <c r="K104" s="6" t="s">
        <v>559</v>
      </c>
      <c r="L104" s="6" t="s">
        <v>560</v>
      </c>
      <c r="M104" s="6" t="s">
        <v>561</v>
      </c>
      <c r="N104" s="6" t="s">
        <v>562</v>
      </c>
      <c r="O104" s="6" t="s">
        <v>23</v>
      </c>
      <c r="P104" s="6">
        <v>0.98350799083709695</v>
      </c>
    </row>
    <row r="105" spans="1:16" x14ac:dyDescent="0.3">
      <c r="A105" s="7">
        <v>45953</v>
      </c>
      <c r="B105" s="6" t="s">
        <v>563</v>
      </c>
      <c r="C105" s="6" t="s">
        <v>564</v>
      </c>
      <c r="D105" s="6" t="s">
        <v>18</v>
      </c>
      <c r="E105" s="6">
        <v>709</v>
      </c>
      <c r="F105" s="6">
        <v>121</v>
      </c>
      <c r="G105" s="6">
        <v>830</v>
      </c>
      <c r="H105" s="8">
        <v>4.4999999999999997E-3</v>
      </c>
      <c r="I105" s="9">
        <v>1.84901E+16</v>
      </c>
      <c r="J105" s="6">
        <v>2226858617</v>
      </c>
      <c r="K105" s="6" t="s">
        <v>565</v>
      </c>
      <c r="L105" s="6" t="s">
        <v>566</v>
      </c>
      <c r="M105" s="6" t="s">
        <v>567</v>
      </c>
      <c r="N105" s="6" t="s">
        <v>568</v>
      </c>
      <c r="O105" s="6" t="s">
        <v>23</v>
      </c>
      <c r="P105" s="6">
        <v>0.934739589691162</v>
      </c>
    </row>
    <row r="106" spans="1:16" x14ac:dyDescent="0.3">
      <c r="A106" s="7">
        <v>45953</v>
      </c>
      <c r="B106" s="6" t="s">
        <v>569</v>
      </c>
      <c r="C106" s="6" t="s">
        <v>112</v>
      </c>
      <c r="D106" s="6" t="s">
        <v>18</v>
      </c>
      <c r="E106" s="6">
        <v>770</v>
      </c>
      <c r="F106" s="6">
        <v>32</v>
      </c>
      <c r="G106" s="6">
        <v>802</v>
      </c>
      <c r="H106" s="8">
        <v>3.0000000000000001E-3</v>
      </c>
      <c r="I106" s="9">
        <v>1.81017E+16</v>
      </c>
      <c r="J106" s="6">
        <v>1780951078</v>
      </c>
      <c r="K106" s="6" t="s">
        <v>570</v>
      </c>
      <c r="L106" s="6" t="s">
        <v>571</v>
      </c>
      <c r="M106" s="6" t="s">
        <v>21</v>
      </c>
      <c r="N106" s="6" t="s">
        <v>572</v>
      </c>
      <c r="O106" s="6" t="s">
        <v>23</v>
      </c>
      <c r="P106" s="6">
        <v>0.92194509506225497</v>
      </c>
    </row>
    <row r="107" spans="1:16" x14ac:dyDescent="0.3">
      <c r="A107" s="7">
        <v>45953</v>
      </c>
      <c r="B107" s="6" t="s">
        <v>573</v>
      </c>
      <c r="C107" s="6" t="s">
        <v>53</v>
      </c>
      <c r="D107" s="6" t="s">
        <v>54</v>
      </c>
      <c r="E107" s="6">
        <v>304</v>
      </c>
      <c r="F107" s="6">
        <v>281</v>
      </c>
      <c r="G107" s="6">
        <v>773</v>
      </c>
      <c r="H107" s="8">
        <v>2.0000000000000001E-4</v>
      </c>
      <c r="I107" s="6" t="s">
        <v>574</v>
      </c>
      <c r="J107" s="6">
        <v>284251000000000</v>
      </c>
      <c r="K107" s="6" t="s">
        <v>575</v>
      </c>
      <c r="L107" s="6" t="s">
        <v>576</v>
      </c>
      <c r="M107" s="6" t="s">
        <v>21</v>
      </c>
      <c r="N107" s="6" t="s">
        <v>577</v>
      </c>
      <c r="O107" s="6" t="s">
        <v>23</v>
      </c>
      <c r="P107" s="6">
        <v>0.98035448789596502</v>
      </c>
    </row>
    <row r="108" spans="1:16" x14ac:dyDescent="0.3">
      <c r="A108" s="7">
        <v>45954</v>
      </c>
      <c r="B108" s="6" t="s">
        <v>578</v>
      </c>
      <c r="C108" s="6" t="s">
        <v>170</v>
      </c>
      <c r="D108" s="6" t="s">
        <v>18</v>
      </c>
      <c r="E108" s="6">
        <v>671</v>
      </c>
      <c r="F108" s="6">
        <v>61</v>
      </c>
      <c r="G108" s="6">
        <v>732</v>
      </c>
      <c r="H108" s="8">
        <v>1.4E-3</v>
      </c>
      <c r="I108" s="9">
        <v>1.81181E+16</v>
      </c>
      <c r="J108" s="6">
        <v>8219288942</v>
      </c>
      <c r="K108" s="6" t="s">
        <v>579</v>
      </c>
      <c r="L108" s="6" t="s">
        <v>580</v>
      </c>
      <c r="M108" s="6" t="s">
        <v>21</v>
      </c>
      <c r="N108" s="6" t="s">
        <v>581</v>
      </c>
      <c r="O108" s="6" t="s">
        <v>23</v>
      </c>
      <c r="P108" s="6">
        <v>0.95680814981460505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AD9A-951A-483E-8333-3A2CB7C9E33F}">
  <dimension ref="A1:Q109"/>
  <sheetViews>
    <sheetView topLeftCell="A87" workbookViewId="0">
      <selection activeCell="K87" sqref="K1:K1048576"/>
    </sheetView>
  </sheetViews>
  <sheetFormatPr defaultRowHeight="14.4" x14ac:dyDescent="0.3"/>
  <cols>
    <col min="1" max="1" width="10.5546875" bestFit="1" customWidth="1"/>
    <col min="2" max="2" width="10.21875" customWidth="1"/>
    <col min="4" max="4" width="10.109375" customWidth="1"/>
    <col min="6" max="6" width="11" customWidth="1"/>
    <col min="9" max="9" width="15.77734375" customWidth="1"/>
    <col min="10" max="10" width="18.21875" style="1" hidden="1" customWidth="1"/>
    <col min="11" max="11" width="19.88671875" style="1" hidden="1" customWidth="1"/>
    <col min="13" max="13" width="19.5546875" customWidth="1"/>
    <col min="14" max="14" width="10.33203125" customWidth="1"/>
    <col min="16" max="16" width="10.6640625" customWidth="1"/>
    <col min="17" max="17" width="16.109375" customWidth="1"/>
  </cols>
  <sheetData>
    <row r="1" spans="1:17" x14ac:dyDescent="0.3">
      <c r="A1" t="s">
        <v>0</v>
      </c>
      <c r="B1" t="s">
        <v>1</v>
      </c>
      <c r="C1" t="s">
        <v>2</v>
      </c>
      <c r="D1" t="s">
        <v>3</v>
      </c>
      <c r="E1" t="s">
        <v>4</v>
      </c>
      <c r="F1" t="s">
        <v>5</v>
      </c>
      <c r="G1" t="s">
        <v>6</v>
      </c>
      <c r="H1" t="s">
        <v>746</v>
      </c>
      <c r="I1" t="s">
        <v>7</v>
      </c>
      <c r="J1" s="1" t="s">
        <v>8</v>
      </c>
      <c r="K1" s="1" t="s">
        <v>9</v>
      </c>
      <c r="L1" t="s">
        <v>10</v>
      </c>
      <c r="M1" t="s">
        <v>11</v>
      </c>
      <c r="N1" t="s">
        <v>12</v>
      </c>
      <c r="O1" t="s">
        <v>13</v>
      </c>
      <c r="P1" t="s">
        <v>14</v>
      </c>
      <c r="Q1" t="s">
        <v>15</v>
      </c>
    </row>
    <row r="2" spans="1:17" x14ac:dyDescent="0.3">
      <c r="A2" s="10">
        <v>45939</v>
      </c>
      <c r="B2" s="6" t="s">
        <v>429</v>
      </c>
      <c r="C2" s="6" t="s">
        <v>371</v>
      </c>
      <c r="D2" s="6" t="s">
        <v>18</v>
      </c>
      <c r="E2" s="6">
        <v>1503</v>
      </c>
      <c r="F2" s="6">
        <v>80</v>
      </c>
      <c r="G2" s="6">
        <v>1583</v>
      </c>
      <c r="H2" s="6">
        <f>SUM(Table1[[#This Row],[Like]:[Shares]])</f>
        <v>3166</v>
      </c>
      <c r="I2" s="8">
        <v>3.3999999999999998E-3</v>
      </c>
      <c r="J2" s="11">
        <v>1805620</v>
      </c>
      <c r="K2" s="11">
        <v>263753332</v>
      </c>
      <c r="L2" s="6" t="s">
        <v>430</v>
      </c>
      <c r="M2" s="6" t="s">
        <v>431</v>
      </c>
      <c r="N2" s="12" t="s">
        <v>698</v>
      </c>
      <c r="O2" s="12" t="s">
        <v>699</v>
      </c>
      <c r="P2" s="6" t="s">
        <v>23</v>
      </c>
      <c r="Q2" s="6">
        <v>0.98374742269515902</v>
      </c>
    </row>
    <row r="3" spans="1:17" x14ac:dyDescent="0.3">
      <c r="A3" s="10">
        <v>45939</v>
      </c>
      <c r="B3" s="6" t="s">
        <v>149</v>
      </c>
      <c r="C3" s="6" t="s">
        <v>112</v>
      </c>
      <c r="D3" s="6" t="s">
        <v>18</v>
      </c>
      <c r="E3" s="6">
        <v>4531</v>
      </c>
      <c r="F3" s="6">
        <v>338</v>
      </c>
      <c r="G3" s="6">
        <v>4869</v>
      </c>
      <c r="H3" s="6">
        <f>SUM(Table1[[#This Row],[Like]:[Shares]])</f>
        <v>9738</v>
      </c>
      <c r="I3" s="8">
        <v>1.8100000000000002E-2</v>
      </c>
      <c r="J3" s="11">
        <v>1793710</v>
      </c>
      <c r="K3" s="11">
        <v>1780951078</v>
      </c>
      <c r="L3" s="6" t="s">
        <v>150</v>
      </c>
      <c r="M3" s="6" t="s">
        <v>151</v>
      </c>
      <c r="N3" s="12" t="s">
        <v>603</v>
      </c>
      <c r="O3" s="12" t="s">
        <v>614</v>
      </c>
      <c r="P3" s="6" t="s">
        <v>23</v>
      </c>
      <c r="Q3" s="6">
        <v>0.98384326696395796</v>
      </c>
    </row>
    <row r="4" spans="1:17" x14ac:dyDescent="0.3">
      <c r="A4" s="10">
        <v>45939</v>
      </c>
      <c r="B4" s="6" t="s">
        <v>328</v>
      </c>
      <c r="C4" s="6" t="s">
        <v>329</v>
      </c>
      <c r="D4" s="6" t="s">
        <v>18</v>
      </c>
      <c r="E4" s="6">
        <v>2170</v>
      </c>
      <c r="F4" s="6">
        <v>36</v>
      </c>
      <c r="G4" s="6">
        <v>2206</v>
      </c>
      <c r="H4" s="6">
        <f>SUM(Table1[[#This Row],[Like]:[Shares]])</f>
        <v>4412</v>
      </c>
      <c r="I4" s="8">
        <v>2.1700000000000001E-2</v>
      </c>
      <c r="J4" s="11">
        <v>18079</v>
      </c>
      <c r="K4" s="11">
        <v>4690443951</v>
      </c>
      <c r="L4" s="6" t="s">
        <v>330</v>
      </c>
      <c r="M4" s="6" t="s">
        <v>331</v>
      </c>
      <c r="N4" s="12" t="s">
        <v>668</v>
      </c>
      <c r="O4" s="12" t="s">
        <v>669</v>
      </c>
      <c r="P4" s="6" t="s">
        <v>45</v>
      </c>
      <c r="Q4" s="6">
        <v>0.95989745855331399</v>
      </c>
    </row>
    <row r="5" spans="1:17" x14ac:dyDescent="0.3">
      <c r="A5" s="10">
        <v>45939</v>
      </c>
      <c r="B5" s="6" t="s">
        <v>360</v>
      </c>
      <c r="C5" s="6" t="s">
        <v>361</v>
      </c>
      <c r="D5" s="6" t="s">
        <v>18</v>
      </c>
      <c r="E5" s="6">
        <v>1974</v>
      </c>
      <c r="F5" s="6">
        <v>1</v>
      </c>
      <c r="G5" s="6">
        <v>1975</v>
      </c>
      <c r="H5" s="6">
        <f>SUM(Table1[[#This Row],[Like]:[Shares]])</f>
        <v>3950</v>
      </c>
      <c r="I5" s="8">
        <v>1.4E-3</v>
      </c>
      <c r="J5" s="11">
        <v>18077</v>
      </c>
      <c r="K5" s="11">
        <v>1945961331</v>
      </c>
      <c r="L5" s="6" t="s">
        <v>362</v>
      </c>
      <c r="M5" s="6" t="s">
        <v>363</v>
      </c>
      <c r="N5" s="12" t="s">
        <v>679</v>
      </c>
      <c r="O5" s="12" t="s">
        <v>680</v>
      </c>
      <c r="P5" s="6" t="s">
        <v>45</v>
      </c>
      <c r="Q5" s="6">
        <v>0.60157763957977295</v>
      </c>
    </row>
    <row r="6" spans="1:17" x14ac:dyDescent="0.3">
      <c r="A6" s="10">
        <v>45939</v>
      </c>
      <c r="B6" s="6" t="s">
        <v>366</v>
      </c>
      <c r="C6" s="6" t="s">
        <v>329</v>
      </c>
      <c r="D6" s="6" t="s">
        <v>18</v>
      </c>
      <c r="E6" s="6">
        <v>1926</v>
      </c>
      <c r="F6" s="6">
        <v>25</v>
      </c>
      <c r="G6" s="6">
        <v>1951</v>
      </c>
      <c r="H6" s="6">
        <f>SUM(Table1[[#This Row],[Like]:[Shares]])</f>
        <v>3902</v>
      </c>
      <c r="I6" s="8">
        <v>1.9199999999999998E-2</v>
      </c>
      <c r="J6" s="11">
        <v>18030</v>
      </c>
      <c r="K6" s="11">
        <v>4690443951</v>
      </c>
      <c r="L6" s="6" t="s">
        <v>367</v>
      </c>
      <c r="M6" s="6" t="s">
        <v>368</v>
      </c>
      <c r="N6" s="12" t="s">
        <v>668</v>
      </c>
      <c r="O6" s="12" t="s">
        <v>681</v>
      </c>
      <c r="P6" s="6" t="s">
        <v>45</v>
      </c>
      <c r="Q6" s="6">
        <v>0.99151152372360196</v>
      </c>
    </row>
    <row r="7" spans="1:17" x14ac:dyDescent="0.3">
      <c r="A7" s="10">
        <v>45940</v>
      </c>
      <c r="B7" s="6" t="s">
        <v>496</v>
      </c>
      <c r="C7" s="6" t="s">
        <v>717</v>
      </c>
      <c r="D7" s="6" t="s">
        <v>18</v>
      </c>
      <c r="E7" s="6">
        <v>1253</v>
      </c>
      <c r="F7" s="6">
        <v>3</v>
      </c>
      <c r="G7" s="6">
        <v>1256</v>
      </c>
      <c r="H7" s="6">
        <f>SUM(Table1[[#This Row],[Like]:[Shares]])</f>
        <v>2512</v>
      </c>
      <c r="I7" s="8">
        <v>4.4000000000000003E-3</v>
      </c>
      <c r="J7" s="11">
        <v>1853140</v>
      </c>
      <c r="K7" s="11">
        <v>8576370623</v>
      </c>
      <c r="L7" s="6" t="s">
        <v>498</v>
      </c>
      <c r="M7" s="6" t="s">
        <v>499</v>
      </c>
      <c r="N7" s="6"/>
      <c r="O7" s="12" t="s">
        <v>718</v>
      </c>
      <c r="P7" s="6" t="s">
        <v>23</v>
      </c>
      <c r="Q7" s="6">
        <v>0.96733653545379605</v>
      </c>
    </row>
    <row r="8" spans="1:17" x14ac:dyDescent="0.3">
      <c r="A8" s="10">
        <v>45942</v>
      </c>
      <c r="B8" s="6" t="s">
        <v>100</v>
      </c>
      <c r="C8" s="6" t="s">
        <v>101</v>
      </c>
      <c r="D8" s="6" t="s">
        <v>18</v>
      </c>
      <c r="E8" s="6">
        <v>8948</v>
      </c>
      <c r="F8" s="6">
        <v>75</v>
      </c>
      <c r="G8" s="6">
        <v>9023</v>
      </c>
      <c r="H8" s="6">
        <f>SUM(Table1[[#This Row],[Like]:[Shares]])</f>
        <v>18046</v>
      </c>
      <c r="I8" s="8">
        <v>3.0000000000000001E-3</v>
      </c>
      <c r="J8" s="11">
        <v>1829460</v>
      </c>
      <c r="K8" s="11">
        <v>1460730189</v>
      </c>
      <c r="L8" s="6" t="s">
        <v>102</v>
      </c>
      <c r="M8" s="6" t="s">
        <v>103</v>
      </c>
      <c r="N8" s="12" t="s">
        <v>600</v>
      </c>
      <c r="O8" s="12" t="s">
        <v>601</v>
      </c>
      <c r="P8" s="6" t="s">
        <v>23</v>
      </c>
      <c r="Q8" s="6">
        <v>0.874506175518035</v>
      </c>
    </row>
    <row r="9" spans="1:17" x14ac:dyDescent="0.3">
      <c r="A9" s="10">
        <v>45944</v>
      </c>
      <c r="B9" s="6" t="s">
        <v>185</v>
      </c>
      <c r="C9" s="6" t="s">
        <v>112</v>
      </c>
      <c r="D9" s="6" t="s">
        <v>18</v>
      </c>
      <c r="E9" s="6">
        <v>3608</v>
      </c>
      <c r="F9" s="6">
        <v>46</v>
      </c>
      <c r="G9" s="6">
        <v>3654</v>
      </c>
      <c r="H9" s="6">
        <f>SUM(Table1[[#This Row],[Like]:[Shares]])</f>
        <v>7308</v>
      </c>
      <c r="I9" s="8">
        <v>1.35E-2</v>
      </c>
      <c r="J9" s="11">
        <v>1798830</v>
      </c>
      <c r="K9" s="11">
        <v>1780951078</v>
      </c>
      <c r="L9" s="6" t="s">
        <v>186</v>
      </c>
      <c r="M9" s="6" t="s">
        <v>187</v>
      </c>
      <c r="N9" s="12" t="s">
        <v>603</v>
      </c>
      <c r="O9" s="12" t="s">
        <v>623</v>
      </c>
      <c r="P9" s="6" t="s">
        <v>23</v>
      </c>
      <c r="Q9" s="6">
        <v>0.97909522056579501</v>
      </c>
    </row>
    <row r="10" spans="1:17" x14ac:dyDescent="0.3">
      <c r="A10" s="10">
        <v>45946</v>
      </c>
      <c r="B10" s="6" t="s">
        <v>261</v>
      </c>
      <c r="C10" s="6" t="s">
        <v>262</v>
      </c>
      <c r="D10" s="6" t="s">
        <v>54</v>
      </c>
      <c r="E10" s="6">
        <v>900</v>
      </c>
      <c r="F10" s="6">
        <v>95</v>
      </c>
      <c r="G10" s="6">
        <v>2665</v>
      </c>
      <c r="H10" s="6">
        <f>SUM(Table1[[#This Row],[Like]:[Shares]])</f>
        <v>3660</v>
      </c>
      <c r="I10" s="8">
        <v>6.4000000000000003E-3</v>
      </c>
      <c r="J10" s="11">
        <v>2.2794381757499E+16</v>
      </c>
      <c r="K10" s="11">
        <v>2279440</v>
      </c>
      <c r="L10" s="6" t="s">
        <v>264</v>
      </c>
      <c r="M10" s="6" t="s">
        <v>265</v>
      </c>
      <c r="N10" s="12" t="s">
        <v>647</v>
      </c>
      <c r="O10" s="12" t="s">
        <v>648</v>
      </c>
      <c r="P10" s="6" t="s">
        <v>23</v>
      </c>
      <c r="Q10" s="6">
        <v>0.91557770967483498</v>
      </c>
    </row>
    <row r="11" spans="1:17" x14ac:dyDescent="0.3">
      <c r="A11" s="10">
        <v>45947</v>
      </c>
      <c r="B11" s="6" t="s">
        <v>527</v>
      </c>
      <c r="C11" s="6" t="s">
        <v>528</v>
      </c>
      <c r="D11" s="6" t="s">
        <v>18</v>
      </c>
      <c r="E11" s="6">
        <v>1095</v>
      </c>
      <c r="F11" s="6">
        <v>6</v>
      </c>
      <c r="G11" s="6">
        <v>1101</v>
      </c>
      <c r="H11" s="6">
        <f>SUM(Table1[[#This Row],[Like]:[Shares]])</f>
        <v>2202</v>
      </c>
      <c r="I11" s="8">
        <v>8.6E-3</v>
      </c>
      <c r="J11" s="11">
        <v>1789020</v>
      </c>
      <c r="K11" s="11">
        <v>3154486890</v>
      </c>
      <c r="L11" s="6" t="s">
        <v>529</v>
      </c>
      <c r="M11" s="6" t="s">
        <v>530</v>
      </c>
      <c r="N11" s="12" t="s">
        <v>726</v>
      </c>
      <c r="O11" s="12" t="s">
        <v>727</v>
      </c>
      <c r="P11" s="6" t="s">
        <v>45</v>
      </c>
      <c r="Q11" s="6">
        <v>0.65266609191894498</v>
      </c>
    </row>
    <row r="12" spans="1:17" x14ac:dyDescent="0.3">
      <c r="A12" s="10">
        <v>45948</v>
      </c>
      <c r="B12" s="6" t="s">
        <v>474</v>
      </c>
      <c r="C12" s="6" t="s">
        <v>371</v>
      </c>
      <c r="D12" s="6" t="s">
        <v>18</v>
      </c>
      <c r="E12" s="6">
        <v>1224</v>
      </c>
      <c r="F12" s="6">
        <v>117</v>
      </c>
      <c r="G12" s="6">
        <v>1341</v>
      </c>
      <c r="H12" s="6">
        <f>SUM(Table1[[#This Row],[Like]:[Shares]])</f>
        <v>2682</v>
      </c>
      <c r="I12" s="8">
        <v>2.8E-3</v>
      </c>
      <c r="J12" s="11">
        <v>1811990</v>
      </c>
      <c r="K12" s="11">
        <v>263753332</v>
      </c>
      <c r="L12" s="6" t="s">
        <v>475</v>
      </c>
      <c r="M12" s="6" t="s">
        <v>476</v>
      </c>
      <c r="N12" s="12" t="s">
        <v>709</v>
      </c>
      <c r="O12" s="12" t="s">
        <v>710</v>
      </c>
      <c r="P12" s="6" t="s">
        <v>23</v>
      </c>
      <c r="Q12" s="6">
        <v>0.97409433126449496</v>
      </c>
    </row>
    <row r="13" spans="1:17" x14ac:dyDescent="0.3">
      <c r="A13" s="10">
        <v>45949</v>
      </c>
      <c r="B13" s="6" t="s">
        <v>289</v>
      </c>
      <c r="C13" s="6" t="s">
        <v>290</v>
      </c>
      <c r="D13" s="6" t="s">
        <v>18</v>
      </c>
      <c r="E13" s="6">
        <v>2352</v>
      </c>
      <c r="F13" s="6">
        <v>81</v>
      </c>
      <c r="G13" s="6">
        <v>2433</v>
      </c>
      <c r="H13" s="6">
        <f>SUM(Table1[[#This Row],[Like]:[Shares]])</f>
        <v>4866</v>
      </c>
      <c r="I13" s="8">
        <v>2.1299999999999999E-2</v>
      </c>
      <c r="J13" s="11">
        <v>1804410</v>
      </c>
      <c r="K13" s="11">
        <v>56744494643</v>
      </c>
      <c r="L13" s="6" t="s">
        <v>291</v>
      </c>
      <c r="M13" s="6" t="s">
        <v>292</v>
      </c>
      <c r="N13" s="12" t="s">
        <v>655</v>
      </c>
      <c r="O13" s="12" t="s">
        <v>656</v>
      </c>
      <c r="P13" s="6" t="s">
        <v>45</v>
      </c>
      <c r="Q13" s="6">
        <v>0.99693346023559504</v>
      </c>
    </row>
    <row r="14" spans="1:17" x14ac:dyDescent="0.3">
      <c r="A14" s="10">
        <v>45949</v>
      </c>
      <c r="B14" s="6" t="s">
        <v>89</v>
      </c>
      <c r="C14" s="6" t="s">
        <v>90</v>
      </c>
      <c r="D14" s="6" t="s">
        <v>18</v>
      </c>
      <c r="E14" s="6">
        <v>10214</v>
      </c>
      <c r="F14" s="6">
        <v>138</v>
      </c>
      <c r="G14" s="6">
        <v>10352</v>
      </c>
      <c r="H14" s="6">
        <f>SUM(Table1[[#This Row],[Like]:[Shares]])</f>
        <v>20704</v>
      </c>
      <c r="I14" s="8">
        <v>6.6E-3</v>
      </c>
      <c r="J14" s="11">
        <v>17994</v>
      </c>
      <c r="K14" s="11">
        <v>220578820</v>
      </c>
      <c r="L14" s="6" t="s">
        <v>91</v>
      </c>
      <c r="M14" s="6" t="s">
        <v>92</v>
      </c>
      <c r="N14" s="6"/>
      <c r="O14" s="12" t="s">
        <v>597</v>
      </c>
      <c r="P14" s="6" t="s">
        <v>23</v>
      </c>
      <c r="Q14" s="6">
        <v>0.98076033592224099</v>
      </c>
    </row>
    <row r="15" spans="1:17" x14ac:dyDescent="0.3">
      <c r="A15" s="10">
        <v>45949</v>
      </c>
      <c r="B15" s="6" t="s">
        <v>485</v>
      </c>
      <c r="C15" s="6" t="s">
        <v>486</v>
      </c>
      <c r="D15" s="6" t="s">
        <v>18</v>
      </c>
      <c r="E15" s="6">
        <v>1274</v>
      </c>
      <c r="F15" s="6">
        <v>13</v>
      </c>
      <c r="G15" s="6">
        <v>1287</v>
      </c>
      <c r="H15" s="6">
        <f>SUM(Table1[[#This Row],[Like]:[Shares]])</f>
        <v>2574</v>
      </c>
      <c r="I15" s="8">
        <v>8.0999999999999996E-3</v>
      </c>
      <c r="J15" s="11">
        <v>17923</v>
      </c>
      <c r="K15" s="11">
        <v>551217937</v>
      </c>
      <c r="L15" s="6" t="s">
        <v>487</v>
      </c>
      <c r="M15" s="6" t="s">
        <v>488</v>
      </c>
      <c r="N15" s="6"/>
      <c r="O15" s="12" t="s">
        <v>713</v>
      </c>
      <c r="P15" s="6" t="s">
        <v>23</v>
      </c>
      <c r="Q15" s="6">
        <v>0.97674357891082697</v>
      </c>
    </row>
    <row r="16" spans="1:17" x14ac:dyDescent="0.3">
      <c r="A16" s="10">
        <v>45950</v>
      </c>
      <c r="B16" s="6" t="s">
        <v>233</v>
      </c>
      <c r="C16" s="6" t="s">
        <v>175</v>
      </c>
      <c r="D16" s="6" t="s">
        <v>54</v>
      </c>
      <c r="E16" s="6">
        <v>1730</v>
      </c>
      <c r="F16" s="6">
        <v>558</v>
      </c>
      <c r="G16" s="6">
        <v>2906</v>
      </c>
      <c r="H16" s="6">
        <f>SUM(Table1[[#This Row],[Like]:[Shares]])</f>
        <v>5194</v>
      </c>
      <c r="I16" s="8">
        <v>1.6199999999999999E-2</v>
      </c>
      <c r="J16" s="11">
        <v>2.90687628938492E+16</v>
      </c>
      <c r="K16" s="11">
        <v>290688</v>
      </c>
      <c r="L16" s="6" t="s">
        <v>235</v>
      </c>
      <c r="M16" s="6" t="s">
        <v>236</v>
      </c>
      <c r="N16" s="12" t="s">
        <v>639</v>
      </c>
      <c r="O16" s="12" t="s">
        <v>640</v>
      </c>
      <c r="P16" s="6" t="s">
        <v>23</v>
      </c>
      <c r="Q16" s="6">
        <v>0.59240871667861905</v>
      </c>
    </row>
    <row r="17" spans="1:17" x14ac:dyDescent="0.3">
      <c r="A17" s="10">
        <v>45950</v>
      </c>
      <c r="B17" s="6" t="s">
        <v>445</v>
      </c>
      <c r="C17" s="6" t="s">
        <v>175</v>
      </c>
      <c r="D17" s="6" t="s">
        <v>54</v>
      </c>
      <c r="E17" s="6">
        <v>1207</v>
      </c>
      <c r="F17" s="6">
        <v>128</v>
      </c>
      <c r="G17" s="6">
        <v>1489</v>
      </c>
      <c r="H17" s="6">
        <f>SUM(Table1[[#This Row],[Like]:[Shares]])</f>
        <v>2824</v>
      </c>
      <c r="I17" s="8">
        <v>8.3000000000000001E-3</v>
      </c>
      <c r="J17" s="11">
        <v>2.90687628938492E+16</v>
      </c>
      <c r="K17" s="11">
        <v>290688</v>
      </c>
      <c r="L17" s="6" t="s">
        <v>447</v>
      </c>
      <c r="M17" s="6" t="s">
        <v>177</v>
      </c>
      <c r="N17" s="6"/>
      <c r="O17" s="12" t="s">
        <v>621</v>
      </c>
      <c r="P17" s="6" t="s">
        <v>23</v>
      </c>
      <c r="Q17" s="6">
        <v>0.93445414304733199</v>
      </c>
    </row>
    <row r="18" spans="1:17" x14ac:dyDescent="0.3">
      <c r="A18" s="10">
        <v>45950</v>
      </c>
      <c r="B18" s="6" t="s">
        <v>111</v>
      </c>
      <c r="C18" s="6" t="s">
        <v>112</v>
      </c>
      <c r="D18" s="6" t="s">
        <v>18</v>
      </c>
      <c r="E18" s="6">
        <v>7746</v>
      </c>
      <c r="F18" s="6">
        <v>405</v>
      </c>
      <c r="G18" s="6">
        <v>8151</v>
      </c>
      <c r="H18" s="6">
        <f>SUM(Table1[[#This Row],[Like]:[Shares]])</f>
        <v>16302</v>
      </c>
      <c r="I18" s="8">
        <v>3.0200000000000001E-2</v>
      </c>
      <c r="J18" s="11">
        <v>1824340</v>
      </c>
      <c r="K18" s="11">
        <v>1780951078</v>
      </c>
      <c r="L18" s="6" t="s">
        <v>113</v>
      </c>
      <c r="M18" s="6" t="s">
        <v>114</v>
      </c>
      <c r="N18" s="12" t="s">
        <v>603</v>
      </c>
      <c r="O18" s="12" t="s">
        <v>604</v>
      </c>
      <c r="P18" s="6" t="s">
        <v>23</v>
      </c>
      <c r="Q18" s="6">
        <v>0.98296689987182595</v>
      </c>
    </row>
    <row r="19" spans="1:17" x14ac:dyDescent="0.3">
      <c r="A19" s="10">
        <v>45950</v>
      </c>
      <c r="B19" s="6" t="s">
        <v>180</v>
      </c>
      <c r="C19" s="6" t="s">
        <v>181</v>
      </c>
      <c r="D19" s="6" t="s">
        <v>18</v>
      </c>
      <c r="E19" s="6">
        <v>3727</v>
      </c>
      <c r="F19" s="6">
        <v>16</v>
      </c>
      <c r="G19" s="6">
        <v>3743</v>
      </c>
      <c r="H19" s="6">
        <f>SUM(Table1[[#This Row],[Like]:[Shares]])</f>
        <v>7486</v>
      </c>
      <c r="I19" s="8">
        <v>2.8E-3</v>
      </c>
      <c r="J19" s="11">
        <v>1792260</v>
      </c>
      <c r="K19" s="11">
        <v>1558618035</v>
      </c>
      <c r="L19" s="6" t="s">
        <v>182</v>
      </c>
      <c r="M19" s="6" t="s">
        <v>183</v>
      </c>
      <c r="N19" s="6"/>
      <c r="O19" s="12" t="s">
        <v>622</v>
      </c>
      <c r="P19" s="6" t="s">
        <v>23</v>
      </c>
      <c r="Q19" s="6">
        <v>0.98078006505966098</v>
      </c>
    </row>
    <row r="20" spans="1:17" x14ac:dyDescent="0.3">
      <c r="A20" s="10">
        <v>45950</v>
      </c>
      <c r="B20" s="6" t="s">
        <v>322</v>
      </c>
      <c r="C20" s="6" t="s">
        <v>323</v>
      </c>
      <c r="D20" s="6" t="s">
        <v>18</v>
      </c>
      <c r="E20" s="6">
        <v>2191</v>
      </c>
      <c r="F20" s="6">
        <v>17</v>
      </c>
      <c r="G20" s="6">
        <v>2208</v>
      </c>
      <c r="H20" s="6">
        <f>SUM(Table1[[#This Row],[Like]:[Shares]])</f>
        <v>4416</v>
      </c>
      <c r="I20" s="8">
        <v>4.3E-3</v>
      </c>
      <c r="J20" s="11">
        <v>18061</v>
      </c>
      <c r="K20" s="11">
        <v>39289871539</v>
      </c>
      <c r="L20" s="6" t="s">
        <v>324</v>
      </c>
      <c r="M20" s="6" t="s">
        <v>325</v>
      </c>
      <c r="N20" s="12" t="s">
        <v>666</v>
      </c>
      <c r="O20" s="12" t="s">
        <v>667</v>
      </c>
      <c r="P20" s="6" t="s">
        <v>23</v>
      </c>
      <c r="Q20" s="6">
        <v>0.98199284076690596</v>
      </c>
    </row>
    <row r="21" spans="1:17" x14ac:dyDescent="0.3">
      <c r="A21" s="10">
        <v>45950</v>
      </c>
      <c r="B21" s="6" t="s">
        <v>174</v>
      </c>
      <c r="C21" s="6" t="s">
        <v>175</v>
      </c>
      <c r="D21" s="6" t="s">
        <v>18</v>
      </c>
      <c r="E21" s="6">
        <v>3746</v>
      </c>
      <c r="F21" s="6">
        <v>141</v>
      </c>
      <c r="G21" s="6">
        <v>3887</v>
      </c>
      <c r="H21" s="6">
        <f>SUM(Table1[[#This Row],[Like]:[Shares]])</f>
        <v>7774</v>
      </c>
      <c r="I21" s="8">
        <v>4.7000000000000002E-3</v>
      </c>
      <c r="J21" s="11">
        <v>18043</v>
      </c>
      <c r="K21" s="11">
        <v>2622151315</v>
      </c>
      <c r="L21" s="6" t="s">
        <v>176</v>
      </c>
      <c r="M21" s="6" t="s">
        <v>177</v>
      </c>
      <c r="N21" s="12" t="s">
        <v>620</v>
      </c>
      <c r="O21" s="12" t="s">
        <v>621</v>
      </c>
      <c r="P21" s="6" t="s">
        <v>23</v>
      </c>
      <c r="Q21" s="6">
        <v>0.93445414304733199</v>
      </c>
    </row>
    <row r="22" spans="1:17" x14ac:dyDescent="0.3">
      <c r="A22" s="10">
        <v>45951</v>
      </c>
      <c r="B22" s="6" t="s">
        <v>334</v>
      </c>
      <c r="C22" s="6" t="s">
        <v>323</v>
      </c>
      <c r="D22" s="6" t="s">
        <v>18</v>
      </c>
      <c r="E22" s="6">
        <v>2029</v>
      </c>
      <c r="F22" s="6">
        <v>161</v>
      </c>
      <c r="G22" s="6">
        <v>2190</v>
      </c>
      <c r="H22" s="6">
        <f>SUM(Table1[[#This Row],[Like]:[Shares]])</f>
        <v>4380</v>
      </c>
      <c r="I22" s="8">
        <v>4.1999999999999997E-3</v>
      </c>
      <c r="J22" s="11">
        <v>1810450</v>
      </c>
      <c r="K22" s="11">
        <v>39289871539</v>
      </c>
      <c r="L22" s="6" t="s">
        <v>335</v>
      </c>
      <c r="M22" s="6" t="s">
        <v>336</v>
      </c>
      <c r="N22" s="12" t="s">
        <v>670</v>
      </c>
      <c r="O22" s="12" t="s">
        <v>671</v>
      </c>
      <c r="P22" s="6" t="s">
        <v>23</v>
      </c>
      <c r="Q22" s="6">
        <v>0.98321658372878995</v>
      </c>
    </row>
    <row r="23" spans="1:17" x14ac:dyDescent="0.3">
      <c r="A23" s="10">
        <v>45951</v>
      </c>
      <c r="B23" s="6" t="s">
        <v>383</v>
      </c>
      <c r="C23" s="6" t="s">
        <v>384</v>
      </c>
      <c r="D23" s="6" t="s">
        <v>18</v>
      </c>
      <c r="E23" s="6">
        <v>1751</v>
      </c>
      <c r="F23" s="6">
        <v>66</v>
      </c>
      <c r="G23" s="6">
        <v>1817</v>
      </c>
      <c r="H23" s="6">
        <f>SUM(Table1[[#This Row],[Like]:[Shares]])</f>
        <v>3634</v>
      </c>
      <c r="I23" s="8">
        <v>1.6000000000000001E-3</v>
      </c>
      <c r="J23" s="11">
        <v>18128</v>
      </c>
      <c r="K23" s="11">
        <v>385221410</v>
      </c>
      <c r="L23" s="6" t="s">
        <v>385</v>
      </c>
      <c r="M23" s="6" t="s">
        <v>386</v>
      </c>
      <c r="N23" s="6"/>
      <c r="O23" s="12" t="s">
        <v>686</v>
      </c>
      <c r="P23" s="6" t="s">
        <v>23</v>
      </c>
      <c r="Q23" s="6">
        <v>0.92803418636321999</v>
      </c>
    </row>
    <row r="24" spans="1:17" x14ac:dyDescent="0.3">
      <c r="A24" s="10">
        <v>45952</v>
      </c>
      <c r="B24" s="6" t="s">
        <v>66</v>
      </c>
      <c r="C24" s="6" t="s">
        <v>67</v>
      </c>
      <c r="D24" s="6" t="s">
        <v>54</v>
      </c>
      <c r="E24" s="6">
        <v>7812</v>
      </c>
      <c r="F24" s="6">
        <v>2896</v>
      </c>
      <c r="G24" s="6">
        <v>13540</v>
      </c>
      <c r="H24" s="6">
        <f>SUM(Table1[[#This Row],[Like]:[Shares]])</f>
        <v>24248</v>
      </c>
      <c r="I24" s="8">
        <v>3.0999999999999999E-3</v>
      </c>
      <c r="J24" s="11">
        <v>6.3679410971502304E+16</v>
      </c>
      <c r="K24" s="11">
        <v>6367940</v>
      </c>
      <c r="L24" s="6" t="s">
        <v>69</v>
      </c>
      <c r="M24" s="6" t="s">
        <v>70</v>
      </c>
      <c r="N24" s="6"/>
      <c r="O24" s="12" t="s">
        <v>592</v>
      </c>
      <c r="P24" s="6" t="s">
        <v>23</v>
      </c>
      <c r="Q24" s="6">
        <v>0.68258643150329501</v>
      </c>
    </row>
    <row r="25" spans="1:17" x14ac:dyDescent="0.3">
      <c r="A25" s="10">
        <v>45952</v>
      </c>
      <c r="B25" s="6" t="s">
        <v>409</v>
      </c>
      <c r="C25" s="6" t="s">
        <v>410</v>
      </c>
      <c r="D25" s="6" t="s">
        <v>54</v>
      </c>
      <c r="E25" s="6">
        <v>1134</v>
      </c>
      <c r="F25" s="6">
        <v>284</v>
      </c>
      <c r="G25" s="6">
        <v>1661</v>
      </c>
      <c r="H25" s="6">
        <f>SUM(Table1[[#This Row],[Like]:[Shares]])</f>
        <v>3079</v>
      </c>
      <c r="I25" s="8">
        <v>6.7000000000000002E-3</v>
      </c>
      <c r="J25" s="11">
        <v>1.68946383306152E+16</v>
      </c>
      <c r="K25" s="11">
        <v>1689460</v>
      </c>
      <c r="L25" s="6" t="s">
        <v>412</v>
      </c>
      <c r="M25" s="6" t="s">
        <v>413</v>
      </c>
      <c r="N25" s="6"/>
      <c r="O25" s="12" t="s">
        <v>693</v>
      </c>
      <c r="P25" s="6" t="s">
        <v>45</v>
      </c>
      <c r="Q25" s="6">
        <v>0.67205208539962702</v>
      </c>
    </row>
    <row r="26" spans="1:17" x14ac:dyDescent="0.3">
      <c r="A26" s="10">
        <v>45952</v>
      </c>
      <c r="B26" s="6" t="s">
        <v>440</v>
      </c>
      <c r="C26" s="6" t="s">
        <v>410</v>
      </c>
      <c r="D26" s="6" t="s">
        <v>54</v>
      </c>
      <c r="E26" s="6">
        <v>925</v>
      </c>
      <c r="F26" s="6">
        <v>369</v>
      </c>
      <c r="G26" s="6">
        <v>1544</v>
      </c>
      <c r="H26" s="6">
        <f>SUM(Table1[[#This Row],[Like]:[Shares]])</f>
        <v>2838</v>
      </c>
      <c r="I26" s="8">
        <v>6.3E-3</v>
      </c>
      <c r="J26" s="11">
        <v>1.68946383306152E+16</v>
      </c>
      <c r="K26" s="11">
        <v>1689460</v>
      </c>
      <c r="L26" s="6" t="s">
        <v>442</v>
      </c>
      <c r="M26" s="6" t="s">
        <v>443</v>
      </c>
      <c r="N26" s="6"/>
      <c r="O26" s="12" t="s">
        <v>702</v>
      </c>
      <c r="P26" s="6" t="s">
        <v>23</v>
      </c>
      <c r="Q26" s="6">
        <v>0.86638402938842696</v>
      </c>
    </row>
    <row r="27" spans="1:17" x14ac:dyDescent="0.3">
      <c r="A27" s="10">
        <v>45952</v>
      </c>
      <c r="B27" s="6" t="s">
        <v>52</v>
      </c>
      <c r="C27" s="6" t="s">
        <v>53</v>
      </c>
      <c r="D27" s="6" t="s">
        <v>54</v>
      </c>
      <c r="E27" s="6">
        <v>9123</v>
      </c>
      <c r="F27" s="6">
        <v>8556</v>
      </c>
      <c r="G27" s="6">
        <v>20789</v>
      </c>
      <c r="H27" s="6">
        <f>SUM(Table1[[#This Row],[Like]:[Shares]])</f>
        <v>38468</v>
      </c>
      <c r="I27" s="8">
        <v>5.8999999999999999E-3</v>
      </c>
      <c r="J27" s="11">
        <v>2.8425133496109E+16</v>
      </c>
      <c r="K27" s="11">
        <v>2842510</v>
      </c>
      <c r="L27" s="6" t="s">
        <v>56</v>
      </c>
      <c r="M27" s="6" t="s">
        <v>49</v>
      </c>
      <c r="N27" s="12" t="s">
        <v>588</v>
      </c>
      <c r="O27" s="12" t="s">
        <v>589</v>
      </c>
      <c r="P27" s="6" t="s">
        <v>23</v>
      </c>
      <c r="Q27" s="6">
        <v>0.97607123851776101</v>
      </c>
    </row>
    <row r="28" spans="1:17" x14ac:dyDescent="0.3">
      <c r="A28" s="10">
        <v>45952</v>
      </c>
      <c r="B28" s="6" t="s">
        <v>117</v>
      </c>
      <c r="C28" s="6" t="s">
        <v>118</v>
      </c>
      <c r="D28" s="6" t="s">
        <v>18</v>
      </c>
      <c r="E28" s="6">
        <v>7554</v>
      </c>
      <c r="F28" s="6">
        <v>387</v>
      </c>
      <c r="G28" s="6">
        <v>7941</v>
      </c>
      <c r="H28" s="6">
        <f>SUM(Table1[[#This Row],[Like]:[Shares]])</f>
        <v>15882</v>
      </c>
      <c r="I28" s="8">
        <v>1.2999999999999999E-2</v>
      </c>
      <c r="J28" s="11">
        <v>1853330</v>
      </c>
      <c r="K28" s="11">
        <v>3735465740</v>
      </c>
      <c r="L28" s="6" t="s">
        <v>119</v>
      </c>
      <c r="M28" s="6" t="s">
        <v>120</v>
      </c>
      <c r="N28" s="12" t="s">
        <v>605</v>
      </c>
      <c r="O28" s="12" t="s">
        <v>606</v>
      </c>
      <c r="P28" s="6" t="s">
        <v>77</v>
      </c>
      <c r="Q28" s="6">
        <v>0.84054034948348999</v>
      </c>
    </row>
    <row r="29" spans="1:17" x14ac:dyDescent="0.3">
      <c r="A29" s="10">
        <v>45952</v>
      </c>
      <c r="B29" s="6" t="s">
        <v>24</v>
      </c>
      <c r="C29" s="6" t="s">
        <v>25</v>
      </c>
      <c r="D29" s="6" t="s">
        <v>18</v>
      </c>
      <c r="E29" s="6">
        <v>73650</v>
      </c>
      <c r="F29" s="6">
        <v>8222</v>
      </c>
      <c r="G29" s="6">
        <v>81872</v>
      </c>
      <c r="H29" s="6">
        <f>SUM(Table1[[#This Row],[Like]:[Shares]])</f>
        <v>163744</v>
      </c>
      <c r="I29" s="8">
        <v>3.5299999999999998E-2</v>
      </c>
      <c r="J29" s="11">
        <v>1837710</v>
      </c>
      <c r="K29" s="11">
        <v>1549997496</v>
      </c>
      <c r="L29" s="6" t="s">
        <v>26</v>
      </c>
      <c r="M29" s="6" t="s">
        <v>27</v>
      </c>
      <c r="N29" s="12" t="s">
        <v>583</v>
      </c>
      <c r="O29" s="12" t="s">
        <v>584</v>
      </c>
      <c r="P29" s="6" t="s">
        <v>23</v>
      </c>
      <c r="Q29" s="6">
        <v>0.94934821128845204</v>
      </c>
    </row>
    <row r="30" spans="1:17" x14ac:dyDescent="0.3">
      <c r="A30" s="10">
        <v>45952</v>
      </c>
      <c r="B30" s="6" t="s">
        <v>511</v>
      </c>
      <c r="C30" s="6" t="s">
        <v>512</v>
      </c>
      <c r="D30" s="6" t="s">
        <v>18</v>
      </c>
      <c r="E30" s="6">
        <v>984</v>
      </c>
      <c r="F30" s="6">
        <v>192</v>
      </c>
      <c r="G30" s="6">
        <v>1176</v>
      </c>
      <c r="H30" s="6">
        <f>SUM(Table1[[#This Row],[Like]:[Shares]])</f>
        <v>2352</v>
      </c>
      <c r="I30" s="8">
        <v>5.4999999999999997E-3</v>
      </c>
      <c r="J30" s="11">
        <v>1818630</v>
      </c>
      <c r="K30" s="11">
        <v>36870228995</v>
      </c>
      <c r="L30" s="6" t="s">
        <v>513</v>
      </c>
      <c r="M30" s="6" t="s">
        <v>514</v>
      </c>
      <c r="N30" s="6"/>
      <c r="O30" s="12" t="s">
        <v>722</v>
      </c>
      <c r="P30" s="6" t="s">
        <v>23</v>
      </c>
      <c r="Q30" s="6">
        <v>0.65912771224975497</v>
      </c>
    </row>
    <row r="31" spans="1:17" x14ac:dyDescent="0.3">
      <c r="A31" s="10">
        <v>45952</v>
      </c>
      <c r="B31" s="6" t="s">
        <v>250</v>
      </c>
      <c r="C31" s="6" t="s">
        <v>251</v>
      </c>
      <c r="D31" s="6" t="s">
        <v>18</v>
      </c>
      <c r="E31" s="6">
        <v>2042</v>
      </c>
      <c r="F31" s="6">
        <v>747</v>
      </c>
      <c r="G31" s="6">
        <v>2789</v>
      </c>
      <c r="H31" s="6">
        <f>SUM(Table1[[#This Row],[Like]:[Shares]])</f>
        <v>5578</v>
      </c>
      <c r="I31" s="8">
        <v>2.5000000000000001E-3</v>
      </c>
      <c r="J31" s="11">
        <v>1817760</v>
      </c>
      <c r="K31" s="11">
        <v>4050504207</v>
      </c>
      <c r="L31" s="6" t="s">
        <v>252</v>
      </c>
      <c r="M31" s="6" t="s">
        <v>253</v>
      </c>
      <c r="N31" s="12" t="s">
        <v>644</v>
      </c>
      <c r="O31" s="12" t="s">
        <v>645</v>
      </c>
      <c r="P31" s="6" t="s">
        <v>45</v>
      </c>
      <c r="Q31" s="6">
        <v>0.973824143409729</v>
      </c>
    </row>
    <row r="32" spans="1:17" x14ac:dyDescent="0.3">
      <c r="A32" s="10">
        <v>45952</v>
      </c>
      <c r="B32" s="6" t="s">
        <v>30</v>
      </c>
      <c r="C32" s="6" t="s">
        <v>31</v>
      </c>
      <c r="D32" s="6" t="s">
        <v>18</v>
      </c>
      <c r="E32" s="6">
        <v>34050</v>
      </c>
      <c r="F32" s="6">
        <v>3562</v>
      </c>
      <c r="G32" s="6">
        <v>37612</v>
      </c>
      <c r="H32" s="6">
        <f>SUM(Table1[[#This Row],[Like]:[Shares]])</f>
        <v>75224</v>
      </c>
      <c r="I32" s="8">
        <v>0.15890000000000001</v>
      </c>
      <c r="J32" s="11">
        <v>1814290</v>
      </c>
      <c r="K32" s="11">
        <v>4016232725</v>
      </c>
      <c r="L32" s="6" t="s">
        <v>32</v>
      </c>
      <c r="M32" s="6" t="s">
        <v>33</v>
      </c>
      <c r="N32" s="6"/>
      <c r="O32" s="12" t="s">
        <v>585</v>
      </c>
      <c r="P32" s="6" t="s">
        <v>23</v>
      </c>
      <c r="Q32" s="6">
        <v>0.70075243711471502</v>
      </c>
    </row>
    <row r="33" spans="1:17" x14ac:dyDescent="0.3">
      <c r="A33" s="10">
        <v>45952</v>
      </c>
      <c r="B33" s="6" t="s">
        <v>123</v>
      </c>
      <c r="C33" s="6" t="s">
        <v>124</v>
      </c>
      <c r="D33" s="6" t="s">
        <v>18</v>
      </c>
      <c r="E33" s="6">
        <v>6576</v>
      </c>
      <c r="F33" s="6">
        <v>705</v>
      </c>
      <c r="G33" s="6">
        <v>7281</v>
      </c>
      <c r="H33" s="6">
        <f>SUM(Table1[[#This Row],[Like]:[Shares]])</f>
        <v>14562</v>
      </c>
      <c r="I33" s="8">
        <v>2.6599999999999999E-2</v>
      </c>
      <c r="J33" s="11">
        <v>1808320</v>
      </c>
      <c r="K33" s="11">
        <v>47814736</v>
      </c>
      <c r="L33" s="6" t="s">
        <v>125</v>
      </c>
      <c r="M33" s="6" t="s">
        <v>126</v>
      </c>
      <c r="N33" s="12" t="s">
        <v>607</v>
      </c>
      <c r="O33" s="12" t="s">
        <v>608</v>
      </c>
      <c r="P33" s="6" t="s">
        <v>23</v>
      </c>
      <c r="Q33" s="6">
        <v>0.89651805162429798</v>
      </c>
    </row>
    <row r="34" spans="1:17" x14ac:dyDescent="0.3">
      <c r="A34" s="10">
        <v>45952</v>
      </c>
      <c r="B34" s="6" t="s">
        <v>143</v>
      </c>
      <c r="C34" s="6" t="s">
        <v>144</v>
      </c>
      <c r="D34" s="6" t="s">
        <v>18</v>
      </c>
      <c r="E34" s="6">
        <v>5283</v>
      </c>
      <c r="F34" s="6">
        <v>374</v>
      </c>
      <c r="G34" s="6">
        <v>5657</v>
      </c>
      <c r="H34" s="6">
        <f>SUM(Table1[[#This Row],[Like]:[Shares]])</f>
        <v>11314</v>
      </c>
      <c r="I34" s="8">
        <v>5.28E-2</v>
      </c>
      <c r="J34" s="11">
        <v>1806320</v>
      </c>
      <c r="K34" s="11">
        <v>212887213</v>
      </c>
      <c r="L34" s="6" t="s">
        <v>145</v>
      </c>
      <c r="M34" s="6" t="s">
        <v>146</v>
      </c>
      <c r="N34" s="12" t="s">
        <v>612</v>
      </c>
      <c r="O34" s="12" t="s">
        <v>613</v>
      </c>
      <c r="P34" s="6" t="s">
        <v>23</v>
      </c>
      <c r="Q34" s="6">
        <v>0.93443280458450295</v>
      </c>
    </row>
    <row r="35" spans="1:17" x14ac:dyDescent="0.3">
      <c r="A35" s="10">
        <v>45952</v>
      </c>
      <c r="B35" s="6" t="s">
        <v>46</v>
      </c>
      <c r="C35" s="6" t="s">
        <v>47</v>
      </c>
      <c r="D35" s="6" t="s">
        <v>18</v>
      </c>
      <c r="E35" s="6">
        <v>22398</v>
      </c>
      <c r="F35" s="6">
        <v>5534</v>
      </c>
      <c r="G35" s="6">
        <v>27932</v>
      </c>
      <c r="H35" s="6">
        <f>SUM(Table1[[#This Row],[Like]:[Shares]])</f>
        <v>55864</v>
      </c>
      <c r="I35" s="8">
        <v>1.83E-2</v>
      </c>
      <c r="J35" s="11">
        <v>1805550</v>
      </c>
      <c r="K35" s="11">
        <v>1452762375</v>
      </c>
      <c r="L35" s="6" t="s">
        <v>48</v>
      </c>
      <c r="M35" s="6" t="s">
        <v>49</v>
      </c>
      <c r="N35" s="12" t="s">
        <v>588</v>
      </c>
      <c r="O35" s="12" t="s">
        <v>589</v>
      </c>
      <c r="P35" s="6" t="s">
        <v>23</v>
      </c>
      <c r="Q35" s="6">
        <v>0.97607123851776101</v>
      </c>
    </row>
    <row r="36" spans="1:17" x14ac:dyDescent="0.3">
      <c r="A36" s="10">
        <v>45952</v>
      </c>
      <c r="B36" s="6" t="s">
        <v>345</v>
      </c>
      <c r="C36" s="6" t="s">
        <v>346</v>
      </c>
      <c r="D36" s="6" t="s">
        <v>18</v>
      </c>
      <c r="E36" s="6">
        <v>1860</v>
      </c>
      <c r="F36" s="6">
        <v>244</v>
      </c>
      <c r="G36" s="6">
        <v>2104</v>
      </c>
      <c r="H36" s="6">
        <f>SUM(Table1[[#This Row],[Like]:[Shares]])</f>
        <v>4208</v>
      </c>
      <c r="I36" s="8">
        <v>5.8999999999999999E-3</v>
      </c>
      <c r="J36" s="11">
        <v>1805430</v>
      </c>
      <c r="K36" s="11">
        <v>3411967657</v>
      </c>
      <c r="L36" s="6" t="s">
        <v>347</v>
      </c>
      <c r="M36" s="6" t="s">
        <v>348</v>
      </c>
      <c r="N36" s="12" t="s">
        <v>674</v>
      </c>
      <c r="O36" s="12" t="s">
        <v>675</v>
      </c>
      <c r="P36" s="6" t="s">
        <v>23</v>
      </c>
      <c r="Q36" s="6">
        <v>0.61574310064315796</v>
      </c>
    </row>
    <row r="37" spans="1:17" x14ac:dyDescent="0.3">
      <c r="A37" s="10">
        <v>45952</v>
      </c>
      <c r="B37" s="6" t="s">
        <v>16</v>
      </c>
      <c r="C37" s="6" t="s">
        <v>17</v>
      </c>
      <c r="D37" s="6" t="s">
        <v>18</v>
      </c>
      <c r="E37" s="6">
        <v>93062</v>
      </c>
      <c r="F37" s="6">
        <v>8861</v>
      </c>
      <c r="G37" s="6">
        <v>101923</v>
      </c>
      <c r="H37" s="6">
        <f>SUM(Table1[[#This Row],[Like]:[Shares]])</f>
        <v>203846</v>
      </c>
      <c r="I37" s="8">
        <v>1.0730999999999999</v>
      </c>
      <c r="J37" s="11">
        <v>1803160</v>
      </c>
      <c r="K37" s="11">
        <v>22517216</v>
      </c>
      <c r="L37" s="6" t="s">
        <v>19</v>
      </c>
      <c r="M37" s="6" t="s">
        <v>20</v>
      </c>
      <c r="N37" s="6"/>
      <c r="O37" s="12" t="s">
        <v>582</v>
      </c>
      <c r="P37" s="6" t="s">
        <v>23</v>
      </c>
      <c r="Q37" s="6">
        <v>0.69136929512023904</v>
      </c>
    </row>
    <row r="38" spans="1:17" x14ac:dyDescent="0.3">
      <c r="A38" s="10">
        <v>45952</v>
      </c>
      <c r="B38" s="6" t="s">
        <v>106</v>
      </c>
      <c r="C38" s="6" t="s">
        <v>107</v>
      </c>
      <c r="D38" s="6" t="s">
        <v>18</v>
      </c>
      <c r="E38" s="6">
        <v>8025</v>
      </c>
      <c r="F38" s="6">
        <v>668</v>
      </c>
      <c r="G38" s="6">
        <v>8693</v>
      </c>
      <c r="H38" s="6">
        <f>SUM(Table1[[#This Row],[Like]:[Shares]])</f>
        <v>17386</v>
      </c>
      <c r="I38" s="8">
        <v>0.15509999999999999</v>
      </c>
      <c r="J38" s="11">
        <v>1802810</v>
      </c>
      <c r="K38" s="11">
        <v>8414183373</v>
      </c>
      <c r="L38" s="6" t="s">
        <v>108</v>
      </c>
      <c r="M38" s="6" t="s">
        <v>109</v>
      </c>
      <c r="N38" s="6"/>
      <c r="O38" s="12" t="s">
        <v>602</v>
      </c>
      <c r="P38" s="6" t="s">
        <v>23</v>
      </c>
      <c r="Q38" s="6">
        <v>0.73349171876907304</v>
      </c>
    </row>
    <row r="39" spans="1:17" x14ac:dyDescent="0.3">
      <c r="A39" s="10">
        <v>45952</v>
      </c>
      <c r="B39" s="6" t="s">
        <v>229</v>
      </c>
      <c r="C39" s="6" t="s">
        <v>41</v>
      </c>
      <c r="D39" s="6" t="s">
        <v>18</v>
      </c>
      <c r="E39" s="6">
        <v>2749</v>
      </c>
      <c r="F39" s="6">
        <v>222</v>
      </c>
      <c r="G39" s="6">
        <v>2971</v>
      </c>
      <c r="H39" s="6">
        <f>SUM(Table1[[#This Row],[Like]:[Shares]])</f>
        <v>5942</v>
      </c>
      <c r="I39" s="8">
        <v>2.07E-2</v>
      </c>
      <c r="J39" s="11">
        <v>1801750</v>
      </c>
      <c r="K39" s="11">
        <v>9890672501</v>
      </c>
      <c r="L39" s="6" t="s">
        <v>230</v>
      </c>
      <c r="M39" s="6" t="s">
        <v>231</v>
      </c>
      <c r="N39" s="6"/>
      <c r="O39" s="12" t="s">
        <v>638</v>
      </c>
      <c r="P39" s="6" t="s">
        <v>77</v>
      </c>
      <c r="Q39" s="6">
        <v>0.80215245485305697</v>
      </c>
    </row>
    <row r="40" spans="1:17" x14ac:dyDescent="0.3">
      <c r="A40" s="10">
        <v>45952</v>
      </c>
      <c r="B40" s="6" t="s">
        <v>256</v>
      </c>
      <c r="C40" s="6" t="s">
        <v>257</v>
      </c>
      <c r="D40" s="6" t="s">
        <v>18</v>
      </c>
      <c r="E40" s="6">
        <v>2621</v>
      </c>
      <c r="F40" s="6">
        <v>52</v>
      </c>
      <c r="G40" s="6">
        <v>2673</v>
      </c>
      <c r="H40" s="6">
        <f>SUM(Table1[[#This Row],[Like]:[Shares]])</f>
        <v>5346</v>
      </c>
      <c r="I40" s="8">
        <v>1.49E-2</v>
      </c>
      <c r="J40" s="11">
        <v>1795120</v>
      </c>
      <c r="K40" s="11">
        <v>3402935747</v>
      </c>
      <c r="L40" s="6" t="s">
        <v>258</v>
      </c>
      <c r="M40" s="6" t="s">
        <v>259</v>
      </c>
      <c r="N40" s="6"/>
      <c r="O40" s="12" t="s">
        <v>646</v>
      </c>
      <c r="P40" s="6" t="s">
        <v>77</v>
      </c>
      <c r="Q40" s="6">
        <v>0.76922953128814697</v>
      </c>
    </row>
    <row r="41" spans="1:17" x14ac:dyDescent="0.3">
      <c r="A41" s="10">
        <v>45952</v>
      </c>
      <c r="B41" s="6" t="s">
        <v>94</v>
      </c>
      <c r="C41" s="6" t="s">
        <v>95</v>
      </c>
      <c r="D41" s="6" t="s">
        <v>18</v>
      </c>
      <c r="E41" s="6">
        <v>8123</v>
      </c>
      <c r="F41" s="6">
        <v>914</v>
      </c>
      <c r="G41" s="6">
        <v>9037</v>
      </c>
      <c r="H41" s="6">
        <f>SUM(Table1[[#This Row],[Like]:[Shares]])</f>
        <v>18074</v>
      </c>
      <c r="I41" s="8">
        <v>4.0399999999999998E-2</v>
      </c>
      <c r="J41" s="11">
        <v>1790250</v>
      </c>
      <c r="K41" s="11">
        <v>13379255860</v>
      </c>
      <c r="L41" s="6" t="s">
        <v>96</v>
      </c>
      <c r="M41" s="6" t="s">
        <v>97</v>
      </c>
      <c r="N41" s="12" t="s">
        <v>598</v>
      </c>
      <c r="O41" s="12" t="s">
        <v>599</v>
      </c>
      <c r="P41" s="6" t="s">
        <v>23</v>
      </c>
      <c r="Q41" s="6">
        <v>0.92661803960800104</v>
      </c>
    </row>
    <row r="42" spans="1:17" x14ac:dyDescent="0.3">
      <c r="A42" s="10">
        <v>45952</v>
      </c>
      <c r="B42" s="6" t="s">
        <v>159</v>
      </c>
      <c r="C42" s="6" t="s">
        <v>160</v>
      </c>
      <c r="D42" s="6" t="s">
        <v>18</v>
      </c>
      <c r="E42" s="6">
        <v>4085</v>
      </c>
      <c r="F42" s="6">
        <v>259</v>
      </c>
      <c r="G42" s="6">
        <v>4344</v>
      </c>
      <c r="H42" s="6">
        <f>SUM(Table1[[#This Row],[Like]:[Shares]])</f>
        <v>8688</v>
      </c>
      <c r="I42" s="8">
        <v>1.38E-2</v>
      </c>
      <c r="J42" s="11">
        <v>18250</v>
      </c>
      <c r="K42" s="11">
        <v>375459502</v>
      </c>
      <c r="L42" s="6" t="s">
        <v>161</v>
      </c>
      <c r="M42" s="6" t="s">
        <v>162</v>
      </c>
      <c r="N42" s="6"/>
      <c r="O42" s="12" t="s">
        <v>617</v>
      </c>
      <c r="P42" s="6" t="s">
        <v>23</v>
      </c>
      <c r="Q42" s="6">
        <v>0.59274876117706299</v>
      </c>
    </row>
    <row r="43" spans="1:17" x14ac:dyDescent="0.3">
      <c r="A43" s="10">
        <v>45953</v>
      </c>
      <c r="B43" s="6" t="s">
        <v>84</v>
      </c>
      <c r="C43" s="6" t="s">
        <v>67</v>
      </c>
      <c r="D43" s="6" t="s">
        <v>54</v>
      </c>
      <c r="E43" s="6">
        <v>5950</v>
      </c>
      <c r="F43" s="6">
        <v>3491</v>
      </c>
      <c r="G43" s="6">
        <v>11765</v>
      </c>
      <c r="H43" s="6">
        <f>SUM(Table1[[#This Row],[Like]:[Shares]])</f>
        <v>21206</v>
      </c>
      <c r="I43" s="8">
        <v>2.7000000000000001E-3</v>
      </c>
      <c r="J43" s="11">
        <v>6.3679410971502304E+16</v>
      </c>
      <c r="K43" s="11">
        <v>6367940</v>
      </c>
      <c r="L43" s="6" t="s">
        <v>86</v>
      </c>
      <c r="M43" s="6" t="s">
        <v>87</v>
      </c>
      <c r="N43" s="6"/>
      <c r="O43" s="12" t="s">
        <v>596</v>
      </c>
      <c r="P43" s="6" t="s">
        <v>23</v>
      </c>
      <c r="Q43" s="6">
        <v>0.53177744150161699</v>
      </c>
    </row>
    <row r="44" spans="1:17" x14ac:dyDescent="0.3">
      <c r="A44" s="10">
        <v>45953</v>
      </c>
      <c r="B44" s="6" t="s">
        <v>284</v>
      </c>
      <c r="C44" s="6" t="s">
        <v>67</v>
      </c>
      <c r="D44" s="6" t="s">
        <v>54</v>
      </c>
      <c r="E44" s="6">
        <v>1436</v>
      </c>
      <c r="F44" s="6">
        <v>831</v>
      </c>
      <c r="G44" s="6">
        <v>2487</v>
      </c>
      <c r="H44" s="6">
        <f>SUM(Table1[[#This Row],[Like]:[Shares]])</f>
        <v>4754</v>
      </c>
      <c r="I44" s="8">
        <v>5.9999999999999995E-4</v>
      </c>
      <c r="J44" s="11">
        <v>6.3679410971502304E+16</v>
      </c>
      <c r="K44" s="11">
        <v>6367940</v>
      </c>
      <c r="L44" s="6" t="s">
        <v>286</v>
      </c>
      <c r="M44" s="6" t="s">
        <v>287</v>
      </c>
      <c r="N44" s="6"/>
      <c r="O44" s="12" t="s">
        <v>654</v>
      </c>
      <c r="P44" s="6" t="s">
        <v>45</v>
      </c>
      <c r="Q44" s="6">
        <v>0.955935478210449</v>
      </c>
    </row>
    <row r="45" spans="1:17" x14ac:dyDescent="0.3">
      <c r="A45" s="10">
        <v>45953</v>
      </c>
      <c r="B45" s="6" t="s">
        <v>376</v>
      </c>
      <c r="C45" s="6" t="s">
        <v>377</v>
      </c>
      <c r="D45" s="6" t="s">
        <v>54</v>
      </c>
      <c r="E45" s="6">
        <v>1239</v>
      </c>
      <c r="F45" s="6">
        <v>420</v>
      </c>
      <c r="G45" s="6">
        <v>1880</v>
      </c>
      <c r="H45" s="6">
        <f>SUM(Table1[[#This Row],[Like]:[Shares]])</f>
        <v>3539</v>
      </c>
      <c r="I45" s="8">
        <v>5.4000000000000003E-3</v>
      </c>
      <c r="J45" s="11">
        <v>1.17118211673312E+16</v>
      </c>
      <c r="K45" s="11">
        <v>1171180</v>
      </c>
      <c r="L45" s="6" t="s">
        <v>379</v>
      </c>
      <c r="M45" s="6" t="s">
        <v>380</v>
      </c>
      <c r="N45" s="12" t="s">
        <v>684</v>
      </c>
      <c r="O45" s="12" t="s">
        <v>685</v>
      </c>
      <c r="P45" s="6" t="s">
        <v>23</v>
      </c>
      <c r="Q45" s="6">
        <v>0.97066015005111606</v>
      </c>
    </row>
    <row r="46" spans="1:17" x14ac:dyDescent="0.3">
      <c r="A46" s="10">
        <v>45953</v>
      </c>
      <c r="B46" s="6" t="s">
        <v>244</v>
      </c>
      <c r="C46" s="6" t="s">
        <v>245</v>
      </c>
      <c r="D46" s="6" t="s">
        <v>54</v>
      </c>
      <c r="E46" s="6">
        <v>1451</v>
      </c>
      <c r="F46" s="6">
        <v>758</v>
      </c>
      <c r="G46" s="6">
        <v>2802</v>
      </c>
      <c r="H46" s="6">
        <f>SUM(Table1[[#This Row],[Like]:[Shares]])</f>
        <v>5011</v>
      </c>
      <c r="I46" s="8">
        <v>8.9999999999999998E-4</v>
      </c>
      <c r="J46" s="11">
        <v>1.01746656537875E+16</v>
      </c>
      <c r="K46" s="11">
        <v>1017470</v>
      </c>
      <c r="L46" s="6" t="s">
        <v>247</v>
      </c>
      <c r="M46" s="6" t="s">
        <v>248</v>
      </c>
      <c r="N46" s="6"/>
      <c r="O46" s="12" t="s">
        <v>643</v>
      </c>
      <c r="P46" s="6" t="s">
        <v>23</v>
      </c>
      <c r="Q46" s="6">
        <v>0.96651154756545998</v>
      </c>
    </row>
    <row r="47" spans="1:17" x14ac:dyDescent="0.3">
      <c r="A47" s="10">
        <v>45953</v>
      </c>
      <c r="B47" s="6" t="s">
        <v>546</v>
      </c>
      <c r="C47" s="6" t="s">
        <v>245</v>
      </c>
      <c r="D47" s="6" t="s">
        <v>54</v>
      </c>
      <c r="E47" s="6">
        <v>539</v>
      </c>
      <c r="F47" s="6">
        <v>274</v>
      </c>
      <c r="G47" s="6">
        <v>1005</v>
      </c>
      <c r="H47" s="6">
        <f>SUM(Table1[[#This Row],[Like]:[Shares]])</f>
        <v>1818</v>
      </c>
      <c r="I47" s="8">
        <v>2.9999999999999997E-4</v>
      </c>
      <c r="J47" s="11">
        <v>1.01746656537875E+16</v>
      </c>
      <c r="K47" s="11">
        <v>1017470</v>
      </c>
      <c r="L47" s="6" t="s">
        <v>548</v>
      </c>
      <c r="M47" s="6" t="s">
        <v>549</v>
      </c>
      <c r="N47" s="6"/>
      <c r="O47" s="12" t="s">
        <v>731</v>
      </c>
      <c r="P47" s="6" t="s">
        <v>23</v>
      </c>
      <c r="Q47" s="6">
        <v>0.98320448398589999</v>
      </c>
    </row>
    <row r="48" spans="1:17" x14ac:dyDescent="0.3">
      <c r="A48" s="10">
        <v>45953</v>
      </c>
      <c r="B48" s="6" t="s">
        <v>573</v>
      </c>
      <c r="C48" s="6" t="s">
        <v>53</v>
      </c>
      <c r="D48" s="6" t="s">
        <v>54</v>
      </c>
      <c r="E48" s="6">
        <v>304</v>
      </c>
      <c r="F48" s="6">
        <v>281</v>
      </c>
      <c r="G48" s="6">
        <v>773</v>
      </c>
      <c r="H48" s="6">
        <f>SUM(Table1[[#This Row],[Like]:[Shares]])</f>
        <v>1358</v>
      </c>
      <c r="I48" s="8">
        <v>2.0000000000000001E-4</v>
      </c>
      <c r="J48" s="11">
        <v>2.8425133496109E+16</v>
      </c>
      <c r="K48" s="11">
        <v>2842510</v>
      </c>
      <c r="L48" s="6" t="s">
        <v>575</v>
      </c>
      <c r="M48" s="6" t="s">
        <v>576</v>
      </c>
      <c r="N48" s="6"/>
      <c r="O48" s="12" t="s">
        <v>738</v>
      </c>
      <c r="P48" s="6" t="s">
        <v>23</v>
      </c>
      <c r="Q48" s="6">
        <v>0.98035448789596502</v>
      </c>
    </row>
    <row r="49" spans="1:17" x14ac:dyDescent="0.3">
      <c r="A49" s="10">
        <v>45953</v>
      </c>
      <c r="B49" s="6" t="s">
        <v>273</v>
      </c>
      <c r="C49" s="6" t="s">
        <v>274</v>
      </c>
      <c r="D49" s="6" t="s">
        <v>18</v>
      </c>
      <c r="E49" s="6">
        <v>2294</v>
      </c>
      <c r="F49" s="6">
        <v>246</v>
      </c>
      <c r="G49" s="6">
        <v>2540</v>
      </c>
      <c r="H49" s="6">
        <f>SUM(Table1[[#This Row],[Like]:[Shares]])</f>
        <v>5080</v>
      </c>
      <c r="I49" s="8">
        <v>1.72E-2</v>
      </c>
      <c r="J49" s="11">
        <v>1853920</v>
      </c>
      <c r="K49" s="11">
        <v>6364469376</v>
      </c>
      <c r="L49" s="6" t="s">
        <v>275</v>
      </c>
      <c r="M49" s="6" t="s">
        <v>276</v>
      </c>
      <c r="N49" s="6"/>
      <c r="O49" s="12" t="s">
        <v>651</v>
      </c>
      <c r="P49" s="6" t="s">
        <v>23</v>
      </c>
      <c r="Q49" s="6">
        <v>0.47713148593902499</v>
      </c>
    </row>
    <row r="50" spans="1:17" x14ac:dyDescent="0.3">
      <c r="A50" s="10">
        <v>45953</v>
      </c>
      <c r="B50" s="6" t="s">
        <v>78</v>
      </c>
      <c r="C50" s="6" t="s">
        <v>79</v>
      </c>
      <c r="D50" s="6" t="s">
        <v>18</v>
      </c>
      <c r="E50" s="6">
        <v>11778</v>
      </c>
      <c r="F50" s="6">
        <v>614</v>
      </c>
      <c r="G50" s="6">
        <v>12392</v>
      </c>
      <c r="H50" s="6">
        <f>SUM(Table1[[#This Row],[Like]:[Shares]])</f>
        <v>24784</v>
      </c>
      <c r="I50" s="8">
        <v>8.8000000000000005E-3</v>
      </c>
      <c r="J50" s="11">
        <v>1853220</v>
      </c>
      <c r="K50" s="11">
        <v>3160886212</v>
      </c>
      <c r="L50" s="6" t="s">
        <v>80</v>
      </c>
      <c r="M50" s="6" t="s">
        <v>81</v>
      </c>
      <c r="N50" s="12" t="s">
        <v>594</v>
      </c>
      <c r="O50" s="12" t="s">
        <v>595</v>
      </c>
      <c r="P50" s="6" t="s">
        <v>23</v>
      </c>
      <c r="Q50" s="6">
        <v>0.96001434326171797</v>
      </c>
    </row>
    <row r="51" spans="1:17" x14ac:dyDescent="0.3">
      <c r="A51" s="10">
        <v>45953</v>
      </c>
      <c r="B51" s="6" t="s">
        <v>563</v>
      </c>
      <c r="C51" s="6" t="s">
        <v>564</v>
      </c>
      <c r="D51" s="6" t="s">
        <v>18</v>
      </c>
      <c r="E51" s="6">
        <v>709</v>
      </c>
      <c r="F51" s="6">
        <v>121</v>
      </c>
      <c r="G51" s="6">
        <v>830</v>
      </c>
      <c r="H51" s="6">
        <f>SUM(Table1[[#This Row],[Like]:[Shares]])</f>
        <v>1660</v>
      </c>
      <c r="I51" s="8">
        <v>4.4999999999999997E-3</v>
      </c>
      <c r="J51" s="11">
        <v>1849010</v>
      </c>
      <c r="K51" s="11">
        <v>2226858617</v>
      </c>
      <c r="L51" s="6" t="s">
        <v>565</v>
      </c>
      <c r="M51" s="6" t="s">
        <v>566</v>
      </c>
      <c r="N51" s="12" t="s">
        <v>735</v>
      </c>
      <c r="O51" s="12" t="s">
        <v>736</v>
      </c>
      <c r="P51" s="6" t="s">
        <v>23</v>
      </c>
      <c r="Q51" s="6">
        <v>0.934739589691162</v>
      </c>
    </row>
    <row r="52" spans="1:17" x14ac:dyDescent="0.3">
      <c r="A52" s="10">
        <v>45953</v>
      </c>
      <c r="B52" s="6" t="s">
        <v>35</v>
      </c>
      <c r="C52" s="6" t="s">
        <v>538</v>
      </c>
      <c r="D52" s="6" t="s">
        <v>18</v>
      </c>
      <c r="E52" s="6">
        <v>1046</v>
      </c>
      <c r="F52" s="6">
        <v>36</v>
      </c>
      <c r="G52" s="6">
        <v>1082</v>
      </c>
      <c r="H52" s="6">
        <f>SUM(Table1[[#This Row],[Like]:[Shares]])</f>
        <v>2164</v>
      </c>
      <c r="I52" s="8">
        <v>3.5999999999999999E-3</v>
      </c>
      <c r="J52" s="11">
        <v>1842930</v>
      </c>
      <c r="K52" s="11">
        <v>30991169</v>
      </c>
      <c r="L52" s="6" t="s">
        <v>539</v>
      </c>
      <c r="M52" s="6" t="s">
        <v>38</v>
      </c>
      <c r="N52" s="6"/>
      <c r="O52" s="12" t="s">
        <v>586</v>
      </c>
      <c r="P52" s="6" t="s">
        <v>23</v>
      </c>
      <c r="Q52" s="6">
        <v>0.83750879764556796</v>
      </c>
    </row>
    <row r="53" spans="1:17" x14ac:dyDescent="0.3">
      <c r="A53" s="10">
        <v>45953</v>
      </c>
      <c r="B53" s="6" t="s">
        <v>434</v>
      </c>
      <c r="C53" s="6" t="s">
        <v>435</v>
      </c>
      <c r="D53" s="6" t="s">
        <v>18</v>
      </c>
      <c r="E53" s="6">
        <v>1417</v>
      </c>
      <c r="F53" s="6">
        <v>138</v>
      </c>
      <c r="G53" s="6">
        <v>1555</v>
      </c>
      <c r="H53" s="6">
        <f>SUM(Table1[[#This Row],[Like]:[Shares]])</f>
        <v>3110</v>
      </c>
      <c r="I53" s="8">
        <v>1.5699999999999999E-2</v>
      </c>
      <c r="J53" s="11">
        <v>1836160</v>
      </c>
      <c r="K53" s="11">
        <v>2867197154</v>
      </c>
      <c r="L53" s="6" t="s">
        <v>436</v>
      </c>
      <c r="M53" s="6" t="s">
        <v>437</v>
      </c>
      <c r="N53" s="12" t="s">
        <v>700</v>
      </c>
      <c r="O53" s="12" t="s">
        <v>701</v>
      </c>
      <c r="P53" s="6" t="s">
        <v>77</v>
      </c>
      <c r="Q53" s="6">
        <v>0.89694601297378496</v>
      </c>
    </row>
    <row r="54" spans="1:17" x14ac:dyDescent="0.3">
      <c r="A54" s="10">
        <v>45953</v>
      </c>
      <c r="B54" s="6" t="s">
        <v>72</v>
      </c>
      <c r="C54" s="6" t="s">
        <v>73</v>
      </c>
      <c r="D54" s="6" t="s">
        <v>18</v>
      </c>
      <c r="E54" s="6">
        <v>11646</v>
      </c>
      <c r="F54" s="6">
        <v>880</v>
      </c>
      <c r="G54" s="6">
        <v>12526</v>
      </c>
      <c r="H54" s="6">
        <f>SUM(Table1[[#This Row],[Like]:[Shares]])</f>
        <v>25052</v>
      </c>
      <c r="I54" s="8">
        <v>1.1900000000000001E-2</v>
      </c>
      <c r="J54" s="11">
        <v>1832590</v>
      </c>
      <c r="K54" s="11">
        <v>5670664069</v>
      </c>
      <c r="L54" s="6" t="s">
        <v>74</v>
      </c>
      <c r="M54" s="6" t="s">
        <v>75</v>
      </c>
      <c r="N54" s="6"/>
      <c r="O54" s="12" t="s">
        <v>593</v>
      </c>
      <c r="P54" s="6" t="s">
        <v>77</v>
      </c>
      <c r="Q54" s="6">
        <v>0.98855572938919001</v>
      </c>
    </row>
    <row r="55" spans="1:17" x14ac:dyDescent="0.3">
      <c r="A55" s="10">
        <v>45953</v>
      </c>
      <c r="B55" s="6" t="s">
        <v>134</v>
      </c>
      <c r="C55" s="6" t="s">
        <v>135</v>
      </c>
      <c r="D55" s="6" t="s">
        <v>18</v>
      </c>
      <c r="E55" s="6">
        <v>5683</v>
      </c>
      <c r="F55" s="6">
        <v>0</v>
      </c>
      <c r="G55" s="6">
        <v>5683</v>
      </c>
      <c r="H55" s="6">
        <f>SUM(Table1[[#This Row],[Like]:[Shares]])</f>
        <v>11366</v>
      </c>
      <c r="I55" s="8">
        <v>2.2100000000000002E-2</v>
      </c>
      <c r="J55" s="11">
        <v>1829460</v>
      </c>
      <c r="K55" s="11">
        <v>204256768</v>
      </c>
      <c r="L55" s="6" t="s">
        <v>136</v>
      </c>
      <c r="M55" s="6" t="s">
        <v>137</v>
      </c>
      <c r="N55" s="6"/>
      <c r="O55" s="12" t="s">
        <v>610</v>
      </c>
      <c r="P55" s="6" t="s">
        <v>45</v>
      </c>
      <c r="Q55" s="6">
        <v>0.993946492671966</v>
      </c>
    </row>
    <row r="56" spans="1:17" x14ac:dyDescent="0.3">
      <c r="A56" s="10">
        <v>45953</v>
      </c>
      <c r="B56" s="6" t="s">
        <v>40</v>
      </c>
      <c r="C56" s="6" t="s">
        <v>41</v>
      </c>
      <c r="D56" s="6" t="s">
        <v>18</v>
      </c>
      <c r="E56" s="6">
        <v>27087</v>
      </c>
      <c r="F56" s="6">
        <v>1560</v>
      </c>
      <c r="G56" s="6">
        <v>28647</v>
      </c>
      <c r="H56" s="6">
        <f>SUM(Table1[[#This Row],[Like]:[Shares]])</f>
        <v>57294</v>
      </c>
      <c r="I56" s="8">
        <v>0.19900000000000001</v>
      </c>
      <c r="J56" s="11">
        <v>1817240</v>
      </c>
      <c r="K56" s="11">
        <v>9890672501</v>
      </c>
      <c r="L56" s="6" t="s">
        <v>42</v>
      </c>
      <c r="M56" s="6" t="s">
        <v>43</v>
      </c>
      <c r="N56" s="6"/>
      <c r="O56" s="12" t="s">
        <v>587</v>
      </c>
      <c r="P56" s="6" t="s">
        <v>45</v>
      </c>
      <c r="Q56" s="6">
        <v>0.903423011302948</v>
      </c>
    </row>
    <row r="57" spans="1:17" x14ac:dyDescent="0.3">
      <c r="A57" s="10">
        <v>45953</v>
      </c>
      <c r="B57" s="6" t="s">
        <v>57</v>
      </c>
      <c r="C57" s="6" t="s">
        <v>41</v>
      </c>
      <c r="D57" s="6" t="s">
        <v>18</v>
      </c>
      <c r="E57" s="6">
        <v>12082</v>
      </c>
      <c r="F57" s="6">
        <v>1992</v>
      </c>
      <c r="G57" s="6">
        <v>14074</v>
      </c>
      <c r="H57" s="6">
        <f>SUM(Table1[[#This Row],[Like]:[Shares]])</f>
        <v>28148</v>
      </c>
      <c r="I57" s="8">
        <v>9.7799999999999998E-2</v>
      </c>
      <c r="J57" s="11">
        <v>1811850</v>
      </c>
      <c r="K57" s="11">
        <v>9890672501</v>
      </c>
      <c r="L57" s="6" t="s">
        <v>58</v>
      </c>
      <c r="M57" s="6" t="s">
        <v>59</v>
      </c>
      <c r="N57" s="6"/>
      <c r="O57" s="12" t="s">
        <v>590</v>
      </c>
      <c r="P57" s="6" t="s">
        <v>23</v>
      </c>
      <c r="Q57" s="6">
        <v>0.49398022890090898</v>
      </c>
    </row>
    <row r="58" spans="1:17" x14ac:dyDescent="0.3">
      <c r="A58" s="10">
        <v>45953</v>
      </c>
      <c r="B58" s="6" t="s">
        <v>213</v>
      </c>
      <c r="C58" s="6" t="s">
        <v>214</v>
      </c>
      <c r="D58" s="6" t="s">
        <v>18</v>
      </c>
      <c r="E58" s="6">
        <v>3103</v>
      </c>
      <c r="F58" s="6">
        <v>155</v>
      </c>
      <c r="G58" s="6">
        <v>3258</v>
      </c>
      <c r="H58" s="6">
        <f>SUM(Table1[[#This Row],[Like]:[Shares]])</f>
        <v>6516</v>
      </c>
      <c r="I58" s="8">
        <v>6.7000000000000002E-3</v>
      </c>
      <c r="J58" s="11">
        <v>1811740</v>
      </c>
      <c r="K58" s="11">
        <v>3117846895</v>
      </c>
      <c r="L58" s="6" t="s">
        <v>215</v>
      </c>
      <c r="M58" s="6" t="s">
        <v>216</v>
      </c>
      <c r="N58" s="12" t="s">
        <v>633</v>
      </c>
      <c r="O58" s="12" t="s">
        <v>634</v>
      </c>
      <c r="P58" s="6" t="s">
        <v>23</v>
      </c>
      <c r="Q58" s="6">
        <v>0.74391430616378695</v>
      </c>
    </row>
    <row r="59" spans="1:17" x14ac:dyDescent="0.3">
      <c r="A59" s="10">
        <v>45953</v>
      </c>
      <c r="B59" s="6" t="s">
        <v>316</v>
      </c>
      <c r="C59" s="6" t="s">
        <v>317</v>
      </c>
      <c r="D59" s="6" t="s">
        <v>18</v>
      </c>
      <c r="E59" s="6">
        <v>2023</v>
      </c>
      <c r="F59" s="6">
        <v>200</v>
      </c>
      <c r="G59" s="6">
        <v>2223</v>
      </c>
      <c r="H59" s="6">
        <f>SUM(Table1[[#This Row],[Like]:[Shares]])</f>
        <v>4446</v>
      </c>
      <c r="I59" s="8">
        <v>2.3999999999999998E-3</v>
      </c>
      <c r="J59" s="11">
        <v>1810970</v>
      </c>
      <c r="K59" s="11">
        <v>4489021666</v>
      </c>
      <c r="L59" s="6" t="s">
        <v>318</v>
      </c>
      <c r="M59" s="6" t="s">
        <v>319</v>
      </c>
      <c r="N59" s="12" t="s">
        <v>664</v>
      </c>
      <c r="O59" s="12" t="s">
        <v>665</v>
      </c>
      <c r="P59" s="6" t="s">
        <v>77</v>
      </c>
      <c r="Q59" s="6">
        <v>0.94137638807296697</v>
      </c>
    </row>
    <row r="60" spans="1:17" x14ac:dyDescent="0.3">
      <c r="A60" s="10">
        <v>45953</v>
      </c>
      <c r="B60" s="6" t="s">
        <v>569</v>
      </c>
      <c r="C60" s="6" t="s">
        <v>112</v>
      </c>
      <c r="D60" s="6" t="s">
        <v>18</v>
      </c>
      <c r="E60" s="6">
        <v>770</v>
      </c>
      <c r="F60" s="6">
        <v>32</v>
      </c>
      <c r="G60" s="6">
        <v>802</v>
      </c>
      <c r="H60" s="6">
        <f>SUM(Table1[[#This Row],[Like]:[Shares]])</f>
        <v>1604</v>
      </c>
      <c r="I60" s="8">
        <v>3.0000000000000001E-3</v>
      </c>
      <c r="J60" s="11">
        <v>1810170</v>
      </c>
      <c r="K60" s="11">
        <v>1780951078</v>
      </c>
      <c r="L60" s="6" t="s">
        <v>570</v>
      </c>
      <c r="M60" s="6" t="s">
        <v>571</v>
      </c>
      <c r="N60" s="6"/>
      <c r="O60" s="12" t="s">
        <v>737</v>
      </c>
      <c r="P60" s="6" t="s">
        <v>23</v>
      </c>
      <c r="Q60" s="6">
        <v>0.92194509506225497</v>
      </c>
    </row>
    <row r="61" spans="1:17" x14ac:dyDescent="0.3">
      <c r="A61" s="10">
        <v>45953</v>
      </c>
      <c r="B61" s="6" t="s">
        <v>458</v>
      </c>
      <c r="C61" s="6" t="s">
        <v>340</v>
      </c>
      <c r="D61" s="6" t="s">
        <v>18</v>
      </c>
      <c r="E61" s="6">
        <v>1358</v>
      </c>
      <c r="F61" s="6">
        <v>89</v>
      </c>
      <c r="G61" s="6">
        <v>1447</v>
      </c>
      <c r="H61" s="6">
        <f>SUM(Table1[[#This Row],[Like]:[Shares]])</f>
        <v>2894</v>
      </c>
      <c r="I61" s="8">
        <v>5.5999999999999999E-3</v>
      </c>
      <c r="J61" s="11">
        <v>1809480</v>
      </c>
      <c r="K61" s="11">
        <v>2206242099</v>
      </c>
      <c r="L61" s="6" t="s">
        <v>459</v>
      </c>
      <c r="M61" s="6" t="s">
        <v>460</v>
      </c>
      <c r="N61" s="12" t="s">
        <v>672</v>
      </c>
      <c r="O61" s="12" t="s">
        <v>705</v>
      </c>
      <c r="P61" s="6" t="s">
        <v>23</v>
      </c>
      <c r="Q61" s="6">
        <v>0.72461712360382002</v>
      </c>
    </row>
    <row r="62" spans="1:17" x14ac:dyDescent="0.3">
      <c r="A62" s="10">
        <v>45953</v>
      </c>
      <c r="B62" s="6" t="s">
        <v>714</v>
      </c>
      <c r="C62" s="6" t="s">
        <v>491</v>
      </c>
      <c r="D62" s="6" t="s">
        <v>18</v>
      </c>
      <c r="E62" s="6">
        <v>1124</v>
      </c>
      <c r="F62" s="6">
        <v>136</v>
      </c>
      <c r="G62" s="6">
        <v>1260</v>
      </c>
      <c r="H62" s="6">
        <f>SUM(Table1[[#This Row],[Like]:[Shares]])</f>
        <v>2520</v>
      </c>
      <c r="I62" s="8">
        <v>4.5999999999999999E-3</v>
      </c>
      <c r="J62" s="11">
        <v>1808860</v>
      </c>
      <c r="K62" s="11">
        <v>609924584</v>
      </c>
      <c r="L62" s="6" t="s">
        <v>492</v>
      </c>
      <c r="M62" s="6" t="s">
        <v>493</v>
      </c>
      <c r="N62" s="12" t="s">
        <v>715</v>
      </c>
      <c r="O62" s="12" t="s">
        <v>716</v>
      </c>
      <c r="P62" s="6" t="s">
        <v>23</v>
      </c>
      <c r="Q62" s="6">
        <v>0.66010648012161199</v>
      </c>
    </row>
    <row r="63" spans="1:17" x14ac:dyDescent="0.3">
      <c r="A63" s="10">
        <v>45953</v>
      </c>
      <c r="B63" s="6" t="s">
        <v>61</v>
      </c>
      <c r="C63" s="6" t="s">
        <v>62</v>
      </c>
      <c r="D63" s="6" t="s">
        <v>18</v>
      </c>
      <c r="E63" s="6">
        <v>11252</v>
      </c>
      <c r="F63" s="6">
        <v>2694</v>
      </c>
      <c r="G63" s="6">
        <v>13946</v>
      </c>
      <c r="H63" s="6">
        <f>SUM(Table1[[#This Row],[Like]:[Shares]])</f>
        <v>27892</v>
      </c>
      <c r="I63" s="8">
        <v>5.5899999999999998E-2</v>
      </c>
      <c r="J63" s="11">
        <v>1807870</v>
      </c>
      <c r="K63" s="11">
        <v>39258075527</v>
      </c>
      <c r="L63" s="6" t="s">
        <v>63</v>
      </c>
      <c r="M63" s="6" t="s">
        <v>64</v>
      </c>
      <c r="N63" s="6"/>
      <c r="O63" s="12" t="s">
        <v>591</v>
      </c>
      <c r="P63" s="6" t="s">
        <v>23</v>
      </c>
      <c r="Q63" s="6">
        <v>0.96157914400100697</v>
      </c>
    </row>
    <row r="64" spans="1:17" x14ac:dyDescent="0.3">
      <c r="A64" s="10">
        <v>45953</v>
      </c>
      <c r="B64" s="6" t="s">
        <v>201</v>
      </c>
      <c r="C64" s="6" t="s">
        <v>202</v>
      </c>
      <c r="D64" s="6" t="s">
        <v>18</v>
      </c>
      <c r="E64" s="6">
        <v>3348</v>
      </c>
      <c r="F64" s="6">
        <v>159</v>
      </c>
      <c r="G64" s="6">
        <v>3507</v>
      </c>
      <c r="H64" s="6">
        <f>SUM(Table1[[#This Row],[Like]:[Shares]])</f>
        <v>7014</v>
      </c>
      <c r="I64" s="8">
        <v>2.52E-2</v>
      </c>
      <c r="J64" s="11">
        <v>1807810</v>
      </c>
      <c r="K64" s="11">
        <v>1584645621</v>
      </c>
      <c r="L64" s="6" t="s">
        <v>203</v>
      </c>
      <c r="M64" s="6" t="s">
        <v>204</v>
      </c>
      <c r="N64" s="12" t="s">
        <v>628</v>
      </c>
      <c r="O64" s="12" t="s">
        <v>629</v>
      </c>
      <c r="P64" s="6" t="s">
        <v>77</v>
      </c>
      <c r="Q64" s="6">
        <v>0.97078001499176003</v>
      </c>
    </row>
    <row r="65" spans="1:17" x14ac:dyDescent="0.3">
      <c r="A65" s="10">
        <v>45953</v>
      </c>
      <c r="B65" s="6" t="s">
        <v>278</v>
      </c>
      <c r="C65" s="6" t="s">
        <v>279</v>
      </c>
      <c r="D65" s="6" t="s">
        <v>18</v>
      </c>
      <c r="E65" s="6">
        <v>2447</v>
      </c>
      <c r="F65" s="6">
        <v>85</v>
      </c>
      <c r="G65" s="6">
        <v>2532</v>
      </c>
      <c r="H65" s="6">
        <f>SUM(Table1[[#This Row],[Like]:[Shares]])</f>
        <v>5064</v>
      </c>
      <c r="I65" s="8">
        <v>2.3E-3</v>
      </c>
      <c r="J65" s="11">
        <v>1807420</v>
      </c>
      <c r="K65" s="11">
        <v>5903695152</v>
      </c>
      <c r="L65" s="6" t="s">
        <v>280</v>
      </c>
      <c r="M65" s="6" t="s">
        <v>281</v>
      </c>
      <c r="N65" s="12" t="s">
        <v>652</v>
      </c>
      <c r="O65" s="12" t="s">
        <v>653</v>
      </c>
      <c r="P65" s="6" t="s">
        <v>77</v>
      </c>
      <c r="Q65" s="6">
        <v>0.98255699872970503</v>
      </c>
    </row>
    <row r="66" spans="1:17" x14ac:dyDescent="0.3">
      <c r="A66" s="10">
        <v>45953</v>
      </c>
      <c r="B66" s="6" t="s">
        <v>139</v>
      </c>
      <c r="C66" s="6" t="s">
        <v>17</v>
      </c>
      <c r="D66" s="6" t="s">
        <v>18</v>
      </c>
      <c r="E66" s="6">
        <v>5502</v>
      </c>
      <c r="F66" s="6">
        <v>162</v>
      </c>
      <c r="G66" s="6">
        <v>5664</v>
      </c>
      <c r="H66" s="6">
        <f>SUM(Table1[[#This Row],[Like]:[Shares]])</f>
        <v>11328</v>
      </c>
      <c r="I66" s="8">
        <v>5.91E-2</v>
      </c>
      <c r="J66" s="11">
        <v>1806690</v>
      </c>
      <c r="K66" s="11">
        <v>22517216</v>
      </c>
      <c r="L66" s="6" t="s">
        <v>140</v>
      </c>
      <c r="M66" s="6" t="s">
        <v>141</v>
      </c>
      <c r="N66" s="6"/>
      <c r="O66" s="12" t="s">
        <v>611</v>
      </c>
      <c r="P66" s="6" t="s">
        <v>77</v>
      </c>
      <c r="Q66" s="6">
        <v>0.95952838659286499</v>
      </c>
    </row>
    <row r="67" spans="1:17" x14ac:dyDescent="0.3">
      <c r="A67" s="10">
        <v>45953</v>
      </c>
      <c r="B67" s="6" t="s">
        <v>501</v>
      </c>
      <c r="C67" s="6" t="s">
        <v>502</v>
      </c>
      <c r="D67" s="6" t="s">
        <v>18</v>
      </c>
      <c r="E67" s="6">
        <v>1103</v>
      </c>
      <c r="F67" s="6">
        <v>149</v>
      </c>
      <c r="G67" s="6">
        <v>1252</v>
      </c>
      <c r="H67" s="6">
        <f>SUM(Table1[[#This Row],[Like]:[Shares]])</f>
        <v>2504</v>
      </c>
      <c r="I67" s="8">
        <v>2.5999999999999999E-3</v>
      </c>
      <c r="J67" s="11">
        <v>1806330</v>
      </c>
      <c r="K67" s="11">
        <v>9310720489</v>
      </c>
      <c r="L67" s="6" t="s">
        <v>503</v>
      </c>
      <c r="M67" s="6" t="s">
        <v>504</v>
      </c>
      <c r="N67" s="6"/>
      <c r="O67" s="12" t="s">
        <v>719</v>
      </c>
      <c r="P67" s="6" t="s">
        <v>23</v>
      </c>
      <c r="Q67" s="6">
        <v>0.91724264621734597</v>
      </c>
    </row>
    <row r="68" spans="1:17" x14ac:dyDescent="0.3">
      <c r="A68" s="10">
        <v>45953</v>
      </c>
      <c r="B68" s="6" t="s">
        <v>462</v>
      </c>
      <c r="C68" s="6" t="s">
        <v>463</v>
      </c>
      <c r="D68" s="6" t="s">
        <v>18</v>
      </c>
      <c r="E68" s="6">
        <v>1307</v>
      </c>
      <c r="F68" s="6">
        <v>139</v>
      </c>
      <c r="G68" s="6">
        <v>1446</v>
      </c>
      <c r="H68" s="6">
        <f>SUM(Table1[[#This Row],[Like]:[Shares]])</f>
        <v>2892</v>
      </c>
      <c r="I68" s="8">
        <v>7.4000000000000003E-3</v>
      </c>
      <c r="J68" s="11">
        <v>1802770</v>
      </c>
      <c r="K68" s="11">
        <v>3290848283</v>
      </c>
      <c r="L68" s="6" t="s">
        <v>464</v>
      </c>
      <c r="M68" s="6" t="s">
        <v>465</v>
      </c>
      <c r="N68" s="12" t="s">
        <v>706</v>
      </c>
      <c r="O68" s="12" t="s">
        <v>707</v>
      </c>
      <c r="P68" s="6" t="s">
        <v>23</v>
      </c>
      <c r="Q68" s="6">
        <v>0.67698669433593694</v>
      </c>
    </row>
    <row r="69" spans="1:17" x14ac:dyDescent="0.3">
      <c r="A69" s="10">
        <v>45953</v>
      </c>
      <c r="B69" s="6" t="s">
        <v>448</v>
      </c>
      <c r="C69" s="6" t="s">
        <v>449</v>
      </c>
      <c r="D69" s="6" t="s">
        <v>18</v>
      </c>
      <c r="E69" s="6">
        <v>1360</v>
      </c>
      <c r="F69" s="6">
        <v>107</v>
      </c>
      <c r="G69" s="6">
        <v>1467</v>
      </c>
      <c r="H69" s="6">
        <f>SUM(Table1[[#This Row],[Like]:[Shares]])</f>
        <v>2934</v>
      </c>
      <c r="I69" s="8">
        <v>1.0200000000000001E-2</v>
      </c>
      <c r="J69" s="11">
        <v>1795160</v>
      </c>
      <c r="K69" s="11">
        <v>34208385470</v>
      </c>
      <c r="L69" s="6" t="s">
        <v>450</v>
      </c>
      <c r="M69" s="6" t="s">
        <v>451</v>
      </c>
      <c r="N69" s="6"/>
      <c r="O69" s="12" t="s">
        <v>703</v>
      </c>
      <c r="P69" s="6" t="s">
        <v>23</v>
      </c>
      <c r="Q69" s="6">
        <v>0.94570505619048995</v>
      </c>
    </row>
    <row r="70" spans="1:17" x14ac:dyDescent="0.3">
      <c r="A70" s="10">
        <v>45953</v>
      </c>
      <c r="B70" s="6" t="s">
        <v>169</v>
      </c>
      <c r="C70" s="6" t="s">
        <v>170</v>
      </c>
      <c r="D70" s="6" t="s">
        <v>18</v>
      </c>
      <c r="E70" s="6">
        <v>3749</v>
      </c>
      <c r="F70" s="6">
        <v>325</v>
      </c>
      <c r="G70" s="6">
        <v>4074</v>
      </c>
      <c r="H70" s="6">
        <f>SUM(Table1[[#This Row],[Like]:[Shares]])</f>
        <v>8148</v>
      </c>
      <c r="I70" s="8">
        <v>7.7000000000000002E-3</v>
      </c>
      <c r="J70" s="11">
        <v>1793390</v>
      </c>
      <c r="K70" s="11">
        <v>8219288942</v>
      </c>
      <c r="L70" s="6" t="s">
        <v>171</v>
      </c>
      <c r="M70" s="6" t="s">
        <v>172</v>
      </c>
      <c r="N70" s="6"/>
      <c r="O70" s="12" t="s">
        <v>619</v>
      </c>
      <c r="P70" s="6" t="s">
        <v>77</v>
      </c>
      <c r="Q70" s="6">
        <v>0.98921424150466897</v>
      </c>
    </row>
    <row r="71" spans="1:17" x14ac:dyDescent="0.3">
      <c r="A71" s="10">
        <v>45953</v>
      </c>
      <c r="B71" s="6" t="s">
        <v>533</v>
      </c>
      <c r="C71" s="6" t="s">
        <v>534</v>
      </c>
      <c r="D71" s="6" t="s">
        <v>18</v>
      </c>
      <c r="E71" s="6">
        <v>1018</v>
      </c>
      <c r="F71" s="6">
        <v>81</v>
      </c>
      <c r="G71" s="6">
        <v>1099</v>
      </c>
      <c r="H71" s="6">
        <f>SUM(Table1[[#This Row],[Like]:[Shares]])</f>
        <v>2198</v>
      </c>
      <c r="I71" s="8">
        <v>2.8E-3</v>
      </c>
      <c r="J71" s="11">
        <v>1792930</v>
      </c>
      <c r="K71" s="11">
        <v>2707974839</v>
      </c>
      <c r="L71" s="6" t="s">
        <v>535</v>
      </c>
      <c r="M71" s="6" t="s">
        <v>536</v>
      </c>
      <c r="N71" s="6"/>
      <c r="O71" s="12" t="s">
        <v>728</v>
      </c>
      <c r="P71" s="6" t="s">
        <v>23</v>
      </c>
      <c r="Q71" s="6">
        <v>0.873174488544464</v>
      </c>
    </row>
    <row r="72" spans="1:17" x14ac:dyDescent="0.3">
      <c r="A72" s="10">
        <v>45953</v>
      </c>
      <c r="B72" s="6" t="s">
        <v>35</v>
      </c>
      <c r="C72" s="6" t="s">
        <v>36</v>
      </c>
      <c r="D72" s="6" t="s">
        <v>18</v>
      </c>
      <c r="E72" s="6">
        <v>30483</v>
      </c>
      <c r="F72" s="6">
        <v>750</v>
      </c>
      <c r="G72" s="6">
        <v>31233</v>
      </c>
      <c r="H72" s="6">
        <f>SUM(Table1[[#This Row],[Like]:[Shares]])</f>
        <v>62466</v>
      </c>
      <c r="I72" s="8">
        <v>1.3899999999999999E-2</v>
      </c>
      <c r="J72" s="11">
        <v>1792790</v>
      </c>
      <c r="K72" s="11">
        <v>1928580710</v>
      </c>
      <c r="L72" s="6" t="s">
        <v>37</v>
      </c>
      <c r="M72" s="6" t="s">
        <v>38</v>
      </c>
      <c r="N72" s="6"/>
      <c r="O72" s="12" t="s">
        <v>586</v>
      </c>
      <c r="P72" s="6" t="s">
        <v>23</v>
      </c>
      <c r="Q72" s="6">
        <v>0.83750879764556796</v>
      </c>
    </row>
    <row r="73" spans="1:17" x14ac:dyDescent="0.3">
      <c r="A73" s="10">
        <v>45953</v>
      </c>
      <c r="B73" s="6" t="s">
        <v>418</v>
      </c>
      <c r="C73" s="6" t="s">
        <v>419</v>
      </c>
      <c r="D73" s="6" t="s">
        <v>18</v>
      </c>
      <c r="E73" s="6">
        <v>1494</v>
      </c>
      <c r="F73" s="6">
        <v>141</v>
      </c>
      <c r="G73" s="6">
        <v>1635</v>
      </c>
      <c r="H73" s="6">
        <f>SUM(Table1[[#This Row],[Like]:[Shares]])</f>
        <v>3270</v>
      </c>
      <c r="I73" s="8">
        <v>8.8999999999999999E-3</v>
      </c>
      <c r="J73" s="11">
        <v>1786390</v>
      </c>
      <c r="K73" s="11">
        <v>47478396586</v>
      </c>
      <c r="L73" s="6" t="s">
        <v>420</v>
      </c>
      <c r="M73" s="6" t="s">
        <v>421</v>
      </c>
      <c r="N73" s="12" t="s">
        <v>694</v>
      </c>
      <c r="O73" s="12" t="s">
        <v>695</v>
      </c>
      <c r="P73" s="6" t="s">
        <v>23</v>
      </c>
      <c r="Q73" s="6">
        <v>0.80042815208435003</v>
      </c>
    </row>
    <row r="74" spans="1:17" x14ac:dyDescent="0.3">
      <c r="A74" s="10">
        <v>45953</v>
      </c>
      <c r="B74" s="6" t="s">
        <v>677</v>
      </c>
      <c r="C74" s="6" t="s">
        <v>356</v>
      </c>
      <c r="D74" s="6" t="s">
        <v>18</v>
      </c>
      <c r="E74" s="6">
        <v>1916</v>
      </c>
      <c r="F74" s="6">
        <v>85</v>
      </c>
      <c r="G74" s="6">
        <v>2001</v>
      </c>
      <c r="H74" s="6">
        <f>SUM(Table1[[#This Row],[Like]:[Shares]])</f>
        <v>4002</v>
      </c>
      <c r="I74" s="8">
        <v>3.0000000000000001E-3</v>
      </c>
      <c r="J74" s="11">
        <v>1786050</v>
      </c>
      <c r="K74" s="11">
        <v>1556529644</v>
      </c>
      <c r="L74" s="6" t="s">
        <v>357</v>
      </c>
      <c r="M74" s="6" t="s">
        <v>358</v>
      </c>
      <c r="N74" s="6"/>
      <c r="O74" s="12" t="s">
        <v>678</v>
      </c>
      <c r="P74" s="6" t="s">
        <v>45</v>
      </c>
      <c r="Q74" s="6">
        <v>0.81488722562789895</v>
      </c>
    </row>
    <row r="75" spans="1:17" x14ac:dyDescent="0.3">
      <c r="A75" s="10">
        <v>45953</v>
      </c>
      <c r="B75" s="6" t="s">
        <v>520</v>
      </c>
      <c r="C75" s="6" t="s">
        <v>67</v>
      </c>
      <c r="D75" s="6" t="s">
        <v>18</v>
      </c>
      <c r="E75" s="6">
        <v>1013</v>
      </c>
      <c r="F75" s="6">
        <v>119</v>
      </c>
      <c r="G75" s="6">
        <v>1132</v>
      </c>
      <c r="H75" s="6">
        <f>SUM(Table1[[#This Row],[Like]:[Shares]])</f>
        <v>2264</v>
      </c>
      <c r="I75" s="8">
        <v>1.6000000000000001E-3</v>
      </c>
      <c r="J75" s="11">
        <v>1784310</v>
      </c>
      <c r="K75" s="11">
        <v>1495633459</v>
      </c>
      <c r="L75" s="6" t="s">
        <v>521</v>
      </c>
      <c r="M75" s="6" t="s">
        <v>522</v>
      </c>
      <c r="N75" s="12" t="s">
        <v>724</v>
      </c>
      <c r="O75" s="12" t="s">
        <v>725</v>
      </c>
      <c r="P75" s="6" t="s">
        <v>77</v>
      </c>
      <c r="Q75" s="6">
        <v>0.64002066850662198</v>
      </c>
    </row>
    <row r="76" spans="1:17" x14ac:dyDescent="0.3">
      <c r="A76" s="10">
        <v>45954</v>
      </c>
      <c r="B76" s="6" t="s">
        <v>468</v>
      </c>
      <c r="C76" s="6" t="s">
        <v>469</v>
      </c>
      <c r="D76" s="6" t="s">
        <v>54</v>
      </c>
      <c r="E76" s="6">
        <v>396</v>
      </c>
      <c r="F76" s="6">
        <v>607</v>
      </c>
      <c r="G76" s="6">
        <v>1366</v>
      </c>
      <c r="H76" s="6">
        <f>SUM(Table1[[#This Row],[Like]:[Shares]])</f>
        <v>2369</v>
      </c>
      <c r="I76" s="8">
        <v>2.9999999999999997E-4</v>
      </c>
      <c r="J76" s="11">
        <v>3.7477724207813504E+16</v>
      </c>
      <c r="K76" s="11">
        <v>3747770</v>
      </c>
      <c r="L76" s="6" t="s">
        <v>471</v>
      </c>
      <c r="M76" s="6" t="s">
        <v>472</v>
      </c>
      <c r="N76" s="6"/>
      <c r="O76" s="12" t="s">
        <v>708</v>
      </c>
      <c r="P76" s="6" t="s">
        <v>23</v>
      </c>
      <c r="Q76" s="6">
        <v>0.98002588748931796</v>
      </c>
    </row>
    <row r="77" spans="1:17" x14ac:dyDescent="0.3">
      <c r="A77" s="10">
        <v>45954</v>
      </c>
      <c r="B77" s="6" t="s">
        <v>195</v>
      </c>
      <c r="C77" s="6" t="s">
        <v>415</v>
      </c>
      <c r="D77" s="6" t="s">
        <v>54</v>
      </c>
      <c r="E77" s="6">
        <v>948</v>
      </c>
      <c r="F77" s="6">
        <v>465</v>
      </c>
      <c r="G77" s="6">
        <v>1651</v>
      </c>
      <c r="H77" s="6">
        <f>SUM(Table1[[#This Row],[Like]:[Shares]])</f>
        <v>3064</v>
      </c>
      <c r="I77" s="8">
        <v>8.9999999999999998E-4</v>
      </c>
      <c r="J77" s="11">
        <v>2.27268729878136E+16</v>
      </c>
      <c r="K77" s="11">
        <v>2272690</v>
      </c>
      <c r="L77" s="6" t="s">
        <v>417</v>
      </c>
      <c r="M77" s="6" t="s">
        <v>198</v>
      </c>
      <c r="N77" s="12" t="s">
        <v>626</v>
      </c>
      <c r="O77" s="12" t="s">
        <v>627</v>
      </c>
      <c r="P77" s="6" t="s">
        <v>23</v>
      </c>
      <c r="Q77" s="6">
        <v>0.58166199922561601</v>
      </c>
    </row>
    <row r="78" spans="1:17" x14ac:dyDescent="0.3">
      <c r="A78" s="10">
        <v>45954</v>
      </c>
      <c r="B78" s="6" t="s">
        <v>225</v>
      </c>
      <c r="C78" s="6" t="s">
        <v>525</v>
      </c>
      <c r="D78" s="6" t="s">
        <v>18</v>
      </c>
      <c r="E78" s="6">
        <v>829</v>
      </c>
      <c r="F78" s="6">
        <v>295</v>
      </c>
      <c r="G78" s="6">
        <v>1124</v>
      </c>
      <c r="H78" s="6">
        <f>SUM(Table1[[#This Row],[Like]:[Shares]])</f>
        <v>2248</v>
      </c>
      <c r="I78" s="8">
        <v>2.9000000000000001E-2</v>
      </c>
      <c r="J78" s="11">
        <v>1816070</v>
      </c>
      <c r="K78" s="11">
        <v>50132340678</v>
      </c>
      <c r="L78" s="6" t="s">
        <v>526</v>
      </c>
      <c r="M78" s="6" t="s">
        <v>227</v>
      </c>
      <c r="N78" s="6"/>
      <c r="O78" s="12" t="s">
        <v>637</v>
      </c>
      <c r="P78" s="6" t="s">
        <v>45</v>
      </c>
      <c r="Q78" s="6">
        <v>0.98674064874649003</v>
      </c>
    </row>
    <row r="79" spans="1:17" x14ac:dyDescent="0.3">
      <c r="A79" s="10">
        <v>45954</v>
      </c>
      <c r="B79" s="6" t="s">
        <v>578</v>
      </c>
      <c r="C79" s="6" t="s">
        <v>170</v>
      </c>
      <c r="D79" s="6" t="s">
        <v>18</v>
      </c>
      <c r="E79" s="6">
        <v>671</v>
      </c>
      <c r="F79" s="6">
        <v>61</v>
      </c>
      <c r="G79" s="6">
        <v>732</v>
      </c>
      <c r="H79" s="6">
        <f>SUM(Table1[[#This Row],[Like]:[Shares]])</f>
        <v>1464</v>
      </c>
      <c r="I79" s="8">
        <v>1.4E-3</v>
      </c>
      <c r="J79" s="11">
        <v>1811810</v>
      </c>
      <c r="K79" s="11">
        <v>8219288942</v>
      </c>
      <c r="L79" s="6" t="s">
        <v>579</v>
      </c>
      <c r="M79" s="6" t="s">
        <v>580</v>
      </c>
      <c r="N79" s="6"/>
      <c r="O79" s="12" t="s">
        <v>739</v>
      </c>
      <c r="P79" s="6" t="s">
        <v>23</v>
      </c>
      <c r="Q79" s="6">
        <v>0.95680814981460505</v>
      </c>
    </row>
    <row r="80" spans="1:17" x14ac:dyDescent="0.3">
      <c r="A80" s="10">
        <v>45954</v>
      </c>
      <c r="B80" s="6" t="s">
        <v>351</v>
      </c>
      <c r="C80" s="6" t="s">
        <v>17</v>
      </c>
      <c r="D80" s="6" t="s">
        <v>18</v>
      </c>
      <c r="E80" s="6">
        <v>1927</v>
      </c>
      <c r="F80" s="6">
        <v>81</v>
      </c>
      <c r="G80" s="6">
        <v>2008</v>
      </c>
      <c r="H80" s="6">
        <f>SUM(Table1[[#This Row],[Like]:[Shares]])</f>
        <v>4016</v>
      </c>
      <c r="I80" s="8">
        <v>2.0899999999999998E-2</v>
      </c>
      <c r="J80" s="11">
        <v>1809690</v>
      </c>
      <c r="K80" s="11">
        <v>22517216</v>
      </c>
      <c r="L80" s="6" t="s">
        <v>352</v>
      </c>
      <c r="M80" s="6" t="s">
        <v>353</v>
      </c>
      <c r="N80" s="6"/>
      <c r="O80" s="12" t="s">
        <v>676</v>
      </c>
      <c r="P80" s="6" t="s">
        <v>23</v>
      </c>
      <c r="Q80" s="6">
        <v>0.67641502618789595</v>
      </c>
    </row>
    <row r="81" spans="1:17" x14ac:dyDescent="0.3">
      <c r="A81" s="10">
        <v>45954</v>
      </c>
      <c r="B81" s="6" t="s">
        <v>388</v>
      </c>
      <c r="C81" s="6" t="s">
        <v>389</v>
      </c>
      <c r="D81" s="6" t="s">
        <v>18</v>
      </c>
      <c r="E81" s="6">
        <v>1289</v>
      </c>
      <c r="F81" s="6">
        <v>496</v>
      </c>
      <c r="G81" s="6">
        <v>1785</v>
      </c>
      <c r="H81" s="6">
        <f>SUM(Table1[[#This Row],[Like]:[Shares]])</f>
        <v>3570</v>
      </c>
      <c r="I81" s="8">
        <v>1.4E-3</v>
      </c>
      <c r="J81" s="11">
        <v>1809110</v>
      </c>
      <c r="K81" s="11">
        <v>2112319749</v>
      </c>
      <c r="L81" s="6" t="s">
        <v>390</v>
      </c>
      <c r="M81" s="6" t="s">
        <v>391</v>
      </c>
      <c r="N81" s="12" t="s">
        <v>687</v>
      </c>
      <c r="O81" s="12" t="s">
        <v>688</v>
      </c>
      <c r="P81" s="6" t="s">
        <v>45</v>
      </c>
      <c r="Q81" s="6">
        <v>0.98324155807495095</v>
      </c>
    </row>
    <row r="82" spans="1:17" x14ac:dyDescent="0.3">
      <c r="A82" s="10">
        <v>45954</v>
      </c>
      <c r="B82" s="6" t="s">
        <v>479</v>
      </c>
      <c r="C82" s="6" t="s">
        <v>480</v>
      </c>
      <c r="D82" s="6" t="s">
        <v>18</v>
      </c>
      <c r="E82" s="6">
        <v>1267</v>
      </c>
      <c r="F82" s="6">
        <v>42</v>
      </c>
      <c r="G82" s="6">
        <v>1309</v>
      </c>
      <c r="H82" s="6">
        <f>SUM(Table1[[#This Row],[Like]:[Shares]])</f>
        <v>2618</v>
      </c>
      <c r="I82" s="8">
        <v>2.7000000000000001E-3</v>
      </c>
      <c r="J82" s="11">
        <v>1808330</v>
      </c>
      <c r="K82" s="11">
        <v>176092297</v>
      </c>
      <c r="L82" s="6" t="s">
        <v>481</v>
      </c>
      <c r="M82" s="6" t="s">
        <v>482</v>
      </c>
      <c r="N82" s="12" t="s">
        <v>711</v>
      </c>
      <c r="O82" s="12" t="s">
        <v>712</v>
      </c>
      <c r="P82" s="6" t="s">
        <v>45</v>
      </c>
      <c r="Q82" s="6">
        <v>0.96976310014724698</v>
      </c>
    </row>
    <row r="83" spans="1:17" x14ac:dyDescent="0.3">
      <c r="A83" s="10">
        <v>45954</v>
      </c>
      <c r="B83" s="6" t="s">
        <v>657</v>
      </c>
      <c r="C83" s="6" t="s">
        <v>144</v>
      </c>
      <c r="D83" s="6" t="s">
        <v>18</v>
      </c>
      <c r="E83" s="6">
        <v>2293</v>
      </c>
      <c r="F83" s="6">
        <v>140</v>
      </c>
      <c r="G83" s="6">
        <v>2433</v>
      </c>
      <c r="H83" s="6">
        <f>SUM(Table1[[#This Row],[Like]:[Shares]])</f>
        <v>4866</v>
      </c>
      <c r="I83" s="8">
        <v>2.2700000000000001E-2</v>
      </c>
      <c r="J83" s="11">
        <v>1807030</v>
      </c>
      <c r="K83" s="11">
        <v>212887213</v>
      </c>
      <c r="L83" s="6" t="s">
        <v>296</v>
      </c>
      <c r="M83" s="6" t="s">
        <v>297</v>
      </c>
      <c r="N83" s="12" t="s">
        <v>658</v>
      </c>
      <c r="O83" s="12" t="s">
        <v>659</v>
      </c>
      <c r="P83" s="6" t="s">
        <v>77</v>
      </c>
      <c r="Q83" s="6">
        <v>0.99316483736038197</v>
      </c>
    </row>
    <row r="84" spans="1:17" x14ac:dyDescent="0.3">
      <c r="A84" s="10">
        <v>45954</v>
      </c>
      <c r="B84" s="6" t="s">
        <v>195</v>
      </c>
      <c r="C84" s="6" t="s">
        <v>196</v>
      </c>
      <c r="D84" s="6" t="s">
        <v>18</v>
      </c>
      <c r="E84" s="6">
        <v>3324</v>
      </c>
      <c r="F84" s="6">
        <v>313</v>
      </c>
      <c r="G84" s="6">
        <v>3637</v>
      </c>
      <c r="H84" s="6">
        <f>SUM(Table1[[#This Row],[Like]:[Shares]])</f>
        <v>7274</v>
      </c>
      <c r="I84" s="8">
        <v>4.1000000000000003E-3</v>
      </c>
      <c r="J84" s="11">
        <v>1797040</v>
      </c>
      <c r="K84" s="11">
        <v>2366541792</v>
      </c>
      <c r="L84" s="6" t="s">
        <v>197</v>
      </c>
      <c r="M84" s="6" t="s">
        <v>198</v>
      </c>
      <c r="N84" s="12" t="s">
        <v>626</v>
      </c>
      <c r="O84" s="12" t="s">
        <v>627</v>
      </c>
      <c r="P84" s="6" t="s">
        <v>23</v>
      </c>
      <c r="Q84" s="6">
        <v>0.58166199922561601</v>
      </c>
    </row>
    <row r="85" spans="1:17" x14ac:dyDescent="0.3">
      <c r="A85" s="10">
        <v>45954</v>
      </c>
      <c r="B85" s="6" t="s">
        <v>370</v>
      </c>
      <c r="C85" s="6" t="s">
        <v>371</v>
      </c>
      <c r="D85" s="6" t="s">
        <v>18</v>
      </c>
      <c r="E85" s="6">
        <v>1776</v>
      </c>
      <c r="F85" s="6">
        <v>164</v>
      </c>
      <c r="G85" s="6">
        <v>1940</v>
      </c>
      <c r="H85" s="6">
        <f>SUM(Table1[[#This Row],[Like]:[Shares]])</f>
        <v>3880</v>
      </c>
      <c r="I85" s="8">
        <v>4.1000000000000003E-3</v>
      </c>
      <c r="J85" s="11">
        <v>1791080</v>
      </c>
      <c r="K85" s="11">
        <v>263753332</v>
      </c>
      <c r="L85" s="6" t="s">
        <v>372</v>
      </c>
      <c r="M85" s="6" t="s">
        <v>373</v>
      </c>
      <c r="N85" s="12" t="s">
        <v>682</v>
      </c>
      <c r="O85" s="12" t="s">
        <v>683</v>
      </c>
      <c r="P85" s="6" t="s">
        <v>77</v>
      </c>
      <c r="Q85" s="6">
        <v>0.76693105697631803</v>
      </c>
    </row>
    <row r="86" spans="1:17" x14ac:dyDescent="0.3">
      <c r="A86" s="10">
        <v>45954</v>
      </c>
      <c r="B86" s="6" t="s">
        <v>268</v>
      </c>
      <c r="C86" s="6" t="s">
        <v>154</v>
      </c>
      <c r="D86" s="6" t="s">
        <v>18</v>
      </c>
      <c r="E86" s="6">
        <v>2378</v>
      </c>
      <c r="F86" s="6">
        <v>258</v>
      </c>
      <c r="G86" s="6">
        <v>2636</v>
      </c>
      <c r="H86" s="6">
        <f>SUM(Table1[[#This Row],[Like]:[Shares]])</f>
        <v>5272</v>
      </c>
      <c r="I86" s="8">
        <v>2.3999999999999998E-3</v>
      </c>
      <c r="J86" s="11">
        <v>1788880</v>
      </c>
      <c r="K86" s="11">
        <v>2279778212</v>
      </c>
      <c r="L86" s="6" t="s">
        <v>269</v>
      </c>
      <c r="M86" s="6" t="s">
        <v>270</v>
      </c>
      <c r="N86" s="12" t="s">
        <v>649</v>
      </c>
      <c r="O86" s="12" t="s">
        <v>650</v>
      </c>
      <c r="P86" s="6" t="s">
        <v>23</v>
      </c>
      <c r="Q86" s="6">
        <v>0.87796998023986805</v>
      </c>
    </row>
    <row r="87" spans="1:17" x14ac:dyDescent="0.3">
      <c r="A87" s="10">
        <v>45954</v>
      </c>
      <c r="B87" s="6" t="s">
        <v>305</v>
      </c>
      <c r="C87" s="6" t="s">
        <v>306</v>
      </c>
      <c r="D87" s="6" t="s">
        <v>18</v>
      </c>
      <c r="E87" s="6">
        <v>2004</v>
      </c>
      <c r="F87" s="6">
        <v>294</v>
      </c>
      <c r="G87" s="6">
        <v>2298</v>
      </c>
      <c r="H87" s="6">
        <f>SUM(Table1[[#This Row],[Like]:[Shares]])</f>
        <v>4596</v>
      </c>
      <c r="I87" s="8">
        <v>1.1999999999999999E-3</v>
      </c>
      <c r="J87" s="11">
        <v>1784910</v>
      </c>
      <c r="K87" s="11">
        <v>310386046</v>
      </c>
      <c r="L87" s="6" t="s">
        <v>307</v>
      </c>
      <c r="M87" s="6" t="s">
        <v>308</v>
      </c>
      <c r="N87" s="12" t="s">
        <v>661</v>
      </c>
      <c r="O87" s="12" t="s">
        <v>662</v>
      </c>
      <c r="P87" s="6" t="s">
        <v>23</v>
      </c>
      <c r="Q87" s="6">
        <v>0.777410387992858</v>
      </c>
    </row>
    <row r="88" spans="1:17" x14ac:dyDescent="0.3">
      <c r="A88" s="10">
        <v>45954</v>
      </c>
      <c r="B88" s="6" t="s">
        <v>300</v>
      </c>
      <c r="C88" s="6" t="s">
        <v>301</v>
      </c>
      <c r="D88" s="6" t="s">
        <v>18</v>
      </c>
      <c r="E88" s="6">
        <v>2260</v>
      </c>
      <c r="F88" s="6">
        <v>56</v>
      </c>
      <c r="G88" s="6">
        <v>2316</v>
      </c>
      <c r="H88" s="6">
        <f>SUM(Table1[[#This Row],[Like]:[Shares]])</f>
        <v>4632</v>
      </c>
      <c r="I88" s="8">
        <v>1.01E-2</v>
      </c>
      <c r="J88" s="11">
        <v>1784810</v>
      </c>
      <c r="K88" s="11">
        <v>266907615</v>
      </c>
      <c r="L88" s="6" t="s">
        <v>302</v>
      </c>
      <c r="M88" s="6" t="s">
        <v>303</v>
      </c>
      <c r="N88" s="6"/>
      <c r="O88" s="12" t="s">
        <v>660</v>
      </c>
      <c r="P88" s="6" t="s">
        <v>23</v>
      </c>
      <c r="Q88" s="6">
        <v>0.98392647504806496</v>
      </c>
    </row>
    <row r="89" spans="1:17" x14ac:dyDescent="0.3">
      <c r="A89" s="10">
        <v>45954</v>
      </c>
      <c r="B89" s="6" t="s">
        <v>153</v>
      </c>
      <c r="C89" s="6" t="s">
        <v>154</v>
      </c>
      <c r="D89" s="6" t="s">
        <v>18</v>
      </c>
      <c r="E89" s="6">
        <v>4260</v>
      </c>
      <c r="F89" s="6">
        <v>604</v>
      </c>
      <c r="G89" s="6">
        <v>4864</v>
      </c>
      <c r="H89" s="6">
        <f>SUM(Table1[[#This Row],[Like]:[Shares]])</f>
        <v>9728</v>
      </c>
      <c r="I89" s="8">
        <v>4.4000000000000003E-3</v>
      </c>
      <c r="J89" s="11">
        <v>18081</v>
      </c>
      <c r="K89" s="11">
        <v>2279778212</v>
      </c>
      <c r="L89" s="6" t="s">
        <v>155</v>
      </c>
      <c r="M89" s="6" t="s">
        <v>156</v>
      </c>
      <c r="N89" s="12" t="s">
        <v>615</v>
      </c>
      <c r="O89" s="12" t="s">
        <v>616</v>
      </c>
      <c r="P89" s="6" t="s">
        <v>23</v>
      </c>
      <c r="Q89" s="6">
        <v>0.97770965099334695</v>
      </c>
    </row>
    <row r="90" spans="1:17" x14ac:dyDescent="0.3">
      <c r="A90" s="10">
        <v>45954</v>
      </c>
      <c r="B90" s="6" t="s">
        <v>540</v>
      </c>
      <c r="C90" s="6" t="s">
        <v>541</v>
      </c>
      <c r="D90" s="6" t="s">
        <v>18</v>
      </c>
      <c r="E90" s="6">
        <v>1012</v>
      </c>
      <c r="F90" s="6">
        <v>42</v>
      </c>
      <c r="G90" s="6">
        <v>1054</v>
      </c>
      <c r="H90" s="6">
        <f>SUM(Table1[[#This Row],[Like]:[Shares]])</f>
        <v>2108</v>
      </c>
      <c r="I90" s="8">
        <v>1.6999999999999999E-3</v>
      </c>
      <c r="J90" s="11">
        <v>18064</v>
      </c>
      <c r="K90" s="11">
        <v>1908175618</v>
      </c>
      <c r="L90" s="6" t="s">
        <v>542</v>
      </c>
      <c r="M90" s="6" t="s">
        <v>543</v>
      </c>
      <c r="N90" s="12" t="s">
        <v>729</v>
      </c>
      <c r="O90" s="12" t="s">
        <v>730</v>
      </c>
      <c r="P90" s="6" t="s">
        <v>23</v>
      </c>
      <c r="Q90" s="6">
        <v>0.72647124528884799</v>
      </c>
    </row>
    <row r="91" spans="1:17" x14ac:dyDescent="0.3">
      <c r="A91" s="10">
        <v>45954</v>
      </c>
      <c r="B91" s="6" t="s">
        <v>225</v>
      </c>
      <c r="C91" s="6" t="s">
        <v>135</v>
      </c>
      <c r="D91" s="6" t="s">
        <v>18</v>
      </c>
      <c r="E91" s="6">
        <v>3008</v>
      </c>
      <c r="F91" s="6">
        <v>0</v>
      </c>
      <c r="G91" s="6">
        <v>3008</v>
      </c>
      <c r="H91" s="6">
        <f>SUM(Table1[[#This Row],[Like]:[Shares]])</f>
        <v>6016</v>
      </c>
      <c r="I91" s="8">
        <v>1.17E-2</v>
      </c>
      <c r="J91" s="11">
        <v>17906</v>
      </c>
      <c r="K91" s="11">
        <v>204256768</v>
      </c>
      <c r="L91" s="6" t="s">
        <v>226</v>
      </c>
      <c r="M91" s="6" t="s">
        <v>227</v>
      </c>
      <c r="N91" s="6"/>
      <c r="O91" s="12" t="s">
        <v>637</v>
      </c>
      <c r="P91" s="6" t="s">
        <v>45</v>
      </c>
      <c r="Q91" s="6">
        <v>0.98674064874649003</v>
      </c>
    </row>
    <row r="92" spans="1:17" x14ac:dyDescent="0.3">
      <c r="A92" s="10">
        <v>45954</v>
      </c>
      <c r="B92" s="6" t="s">
        <v>404</v>
      </c>
      <c r="C92" s="6" t="s">
        <v>405</v>
      </c>
      <c r="D92" s="6" t="s">
        <v>18</v>
      </c>
      <c r="E92" s="6">
        <v>1613</v>
      </c>
      <c r="F92" s="6">
        <v>50</v>
      </c>
      <c r="G92" s="6">
        <v>1663</v>
      </c>
      <c r="H92" s="6">
        <f>SUM(Table1[[#This Row],[Like]:[Shares]])</f>
        <v>3326</v>
      </c>
      <c r="I92" s="8">
        <v>1.38E-2</v>
      </c>
      <c r="J92" s="11">
        <v>1791</v>
      </c>
      <c r="K92" s="11">
        <v>1084117528</v>
      </c>
      <c r="L92" s="6" t="s">
        <v>406</v>
      </c>
      <c r="M92" s="6" t="s">
        <v>407</v>
      </c>
      <c r="N92" s="6"/>
      <c r="O92" s="12" t="s">
        <v>692</v>
      </c>
      <c r="P92" s="6" t="s">
        <v>23</v>
      </c>
      <c r="Q92" s="6">
        <v>0.96131318807601895</v>
      </c>
    </row>
    <row r="93" spans="1:17" x14ac:dyDescent="0.3">
      <c r="A93" s="10">
        <v>45955</v>
      </c>
      <c r="B93" s="6" t="s">
        <v>129</v>
      </c>
      <c r="C93" s="6" t="s">
        <v>130</v>
      </c>
      <c r="D93" s="6" t="s">
        <v>18</v>
      </c>
      <c r="E93" s="6">
        <v>6007</v>
      </c>
      <c r="F93" s="6">
        <v>153</v>
      </c>
      <c r="G93" s="6">
        <v>6160</v>
      </c>
      <c r="H93" s="6">
        <f>SUM(Table1[[#This Row],[Like]:[Shares]])</f>
        <v>12320</v>
      </c>
      <c r="I93" s="8">
        <v>1.4E-3</v>
      </c>
      <c r="J93" s="11">
        <v>1810570</v>
      </c>
      <c r="K93" s="11">
        <v>181380634</v>
      </c>
      <c r="L93" s="6" t="s">
        <v>131</v>
      </c>
      <c r="M93" s="6" t="s">
        <v>132</v>
      </c>
      <c r="N93" s="6"/>
      <c r="O93" s="12" t="s">
        <v>609</v>
      </c>
      <c r="P93" s="6" t="s">
        <v>45</v>
      </c>
      <c r="Q93" s="6">
        <v>0.996113061904907</v>
      </c>
    </row>
    <row r="94" spans="1:17" x14ac:dyDescent="0.3">
      <c r="A94" s="10">
        <v>45955</v>
      </c>
      <c r="B94" s="6" t="s">
        <v>557</v>
      </c>
      <c r="C94" s="6" t="s">
        <v>558</v>
      </c>
      <c r="D94" s="6" t="s">
        <v>18</v>
      </c>
      <c r="E94" s="6">
        <v>685</v>
      </c>
      <c r="F94" s="6">
        <v>163</v>
      </c>
      <c r="G94" s="6">
        <v>848</v>
      </c>
      <c r="H94" s="6">
        <f>SUM(Table1[[#This Row],[Like]:[Shares]])</f>
        <v>1696</v>
      </c>
      <c r="I94" s="8">
        <v>1.6999999999999999E-3</v>
      </c>
      <c r="J94" s="11">
        <v>1805830</v>
      </c>
      <c r="K94" s="11">
        <v>5110376634</v>
      </c>
      <c r="L94" s="6" t="s">
        <v>559</v>
      </c>
      <c r="M94" s="6" t="s">
        <v>560</v>
      </c>
      <c r="N94" s="12" t="s">
        <v>733</v>
      </c>
      <c r="O94" s="12" t="s">
        <v>734</v>
      </c>
      <c r="P94" s="6" t="s">
        <v>23</v>
      </c>
      <c r="Q94" s="6">
        <v>0.98350799083709695</v>
      </c>
    </row>
    <row r="95" spans="1:17" x14ac:dyDescent="0.3">
      <c r="A95" s="10">
        <v>45955</v>
      </c>
      <c r="B95" s="6" t="s">
        <v>399</v>
      </c>
      <c r="C95" s="6" t="s">
        <v>400</v>
      </c>
      <c r="D95" s="6" t="s">
        <v>18</v>
      </c>
      <c r="E95" s="6">
        <v>1433</v>
      </c>
      <c r="F95" s="6">
        <v>297</v>
      </c>
      <c r="G95" s="6">
        <v>1730</v>
      </c>
      <c r="H95" s="6">
        <f>SUM(Table1[[#This Row],[Like]:[Shares]])</f>
        <v>3460</v>
      </c>
      <c r="I95" s="8">
        <v>1.6000000000000001E-3</v>
      </c>
      <c r="J95" s="11">
        <v>1804490</v>
      </c>
      <c r="K95" s="11">
        <v>4857774026</v>
      </c>
      <c r="L95" s="6" t="s">
        <v>401</v>
      </c>
      <c r="M95" s="6" t="s">
        <v>402</v>
      </c>
      <c r="N95" s="6"/>
      <c r="O95" s="12" t="s">
        <v>691</v>
      </c>
      <c r="P95" s="6" t="s">
        <v>23</v>
      </c>
      <c r="Q95" s="6">
        <v>0.98256152868270796</v>
      </c>
    </row>
    <row r="96" spans="1:17" x14ac:dyDescent="0.3">
      <c r="A96" s="10">
        <v>45955</v>
      </c>
      <c r="B96" s="6" t="s">
        <v>630</v>
      </c>
      <c r="C96" s="6" t="s">
        <v>208</v>
      </c>
      <c r="D96" s="6" t="s">
        <v>18</v>
      </c>
      <c r="E96" s="6">
        <v>2943</v>
      </c>
      <c r="F96" s="6">
        <v>486</v>
      </c>
      <c r="G96" s="6">
        <v>3429</v>
      </c>
      <c r="H96" s="6">
        <f>SUM(Table1[[#This Row],[Like]:[Shares]])</f>
        <v>6858</v>
      </c>
      <c r="I96" s="8">
        <v>4.8800000000000003E-2</v>
      </c>
      <c r="J96" s="11">
        <v>1798660</v>
      </c>
      <c r="K96" s="11">
        <v>28508595553</v>
      </c>
      <c r="L96" s="6" t="s">
        <v>209</v>
      </c>
      <c r="M96" s="6" t="s">
        <v>210</v>
      </c>
      <c r="N96" s="12" t="s">
        <v>631</v>
      </c>
      <c r="O96" s="12" t="s">
        <v>632</v>
      </c>
      <c r="P96" s="6" t="s">
        <v>45</v>
      </c>
      <c r="Q96" s="6">
        <v>0.97764378786087003</v>
      </c>
    </row>
    <row r="97" spans="1:17" x14ac:dyDescent="0.3">
      <c r="A97" s="10">
        <v>45955</v>
      </c>
      <c r="B97" s="6" t="s">
        <v>506</v>
      </c>
      <c r="C97" s="6" t="s">
        <v>144</v>
      </c>
      <c r="D97" s="6" t="s">
        <v>18</v>
      </c>
      <c r="E97" s="6">
        <v>1153</v>
      </c>
      <c r="F97" s="6">
        <v>75</v>
      </c>
      <c r="G97" s="6">
        <v>1228</v>
      </c>
      <c r="H97" s="6">
        <f>SUM(Table1[[#This Row],[Like]:[Shares]])</f>
        <v>2456</v>
      </c>
      <c r="I97" s="8">
        <v>1.15E-2</v>
      </c>
      <c r="J97" s="11">
        <v>1789120</v>
      </c>
      <c r="K97" s="11">
        <v>212887213</v>
      </c>
      <c r="L97" s="6" t="s">
        <v>507</v>
      </c>
      <c r="M97" s="6" t="s">
        <v>508</v>
      </c>
      <c r="N97" s="12" t="s">
        <v>720</v>
      </c>
      <c r="O97" s="12" t="s">
        <v>721</v>
      </c>
      <c r="P97" s="6" t="s">
        <v>45</v>
      </c>
      <c r="Q97" s="6">
        <v>0.93963295221328702</v>
      </c>
    </row>
    <row r="98" spans="1:17" x14ac:dyDescent="0.3">
      <c r="A98" s="10">
        <v>45955</v>
      </c>
      <c r="B98" s="6" t="s">
        <v>424</v>
      </c>
      <c r="C98" s="6" t="s">
        <v>190</v>
      </c>
      <c r="D98" s="6" t="s">
        <v>18</v>
      </c>
      <c r="E98" s="6">
        <v>1333</v>
      </c>
      <c r="F98" s="6">
        <v>273</v>
      </c>
      <c r="G98" s="6">
        <v>1606</v>
      </c>
      <c r="H98" s="6">
        <f>SUM(Table1[[#This Row],[Like]:[Shares]])</f>
        <v>3212</v>
      </c>
      <c r="I98" s="8">
        <v>4.7000000000000002E-3</v>
      </c>
      <c r="J98" s="11">
        <v>1787850</v>
      </c>
      <c r="K98" s="11">
        <v>2501583257</v>
      </c>
      <c r="L98" s="6" t="s">
        <v>425</v>
      </c>
      <c r="M98" s="6" t="s">
        <v>426</v>
      </c>
      <c r="N98" s="12" t="s">
        <v>696</v>
      </c>
      <c r="O98" s="12" t="s">
        <v>697</v>
      </c>
      <c r="P98" s="6" t="s">
        <v>23</v>
      </c>
      <c r="Q98" s="6">
        <v>0.92654341459274203</v>
      </c>
    </row>
    <row r="99" spans="1:17" x14ac:dyDescent="0.3">
      <c r="A99" s="10">
        <v>45956</v>
      </c>
      <c r="B99" s="6" t="s">
        <v>551</v>
      </c>
      <c r="C99" s="6" t="s">
        <v>552</v>
      </c>
      <c r="D99" s="6" t="s">
        <v>54</v>
      </c>
      <c r="E99" s="6">
        <v>273</v>
      </c>
      <c r="F99" s="6">
        <v>438</v>
      </c>
      <c r="G99" s="6">
        <v>886</v>
      </c>
      <c r="H99" s="6">
        <f>SUM(Table1[[#This Row],[Like]:[Shares]])</f>
        <v>1597</v>
      </c>
      <c r="I99" s="8">
        <v>8.0000000000000004E-4</v>
      </c>
      <c r="J99" s="11">
        <v>1.77892288911274E+16</v>
      </c>
      <c r="K99" s="11">
        <v>1778920</v>
      </c>
      <c r="L99" s="6" t="s">
        <v>554</v>
      </c>
      <c r="M99" s="6" t="s">
        <v>555</v>
      </c>
      <c r="N99" s="6"/>
      <c r="O99" s="12" t="s">
        <v>732</v>
      </c>
      <c r="P99" s="6" t="s">
        <v>23</v>
      </c>
      <c r="Q99" s="6">
        <v>0.96751195192337003</v>
      </c>
    </row>
    <row r="100" spans="1:17" x14ac:dyDescent="0.3">
      <c r="A100" s="10">
        <v>45956</v>
      </c>
      <c r="B100" s="6" t="s">
        <v>394</v>
      </c>
      <c r="C100" s="6" t="s">
        <v>144</v>
      </c>
      <c r="D100" s="6" t="s">
        <v>18</v>
      </c>
      <c r="E100" s="6">
        <v>1549</v>
      </c>
      <c r="F100" s="6">
        <v>196</v>
      </c>
      <c r="G100" s="6">
        <v>1745</v>
      </c>
      <c r="H100" s="6">
        <f>SUM(Table1[[#This Row],[Like]:[Shares]])</f>
        <v>3490</v>
      </c>
      <c r="I100" s="8">
        <v>1.6299999999999999E-2</v>
      </c>
      <c r="J100" s="11">
        <v>1807910</v>
      </c>
      <c r="K100" s="11">
        <v>212887213</v>
      </c>
      <c r="L100" s="6" t="s">
        <v>395</v>
      </c>
      <c r="M100" s="6" t="s">
        <v>396</v>
      </c>
      <c r="N100" s="12" t="s">
        <v>689</v>
      </c>
      <c r="O100" s="12" t="s">
        <v>690</v>
      </c>
      <c r="P100" s="6" t="s">
        <v>45</v>
      </c>
      <c r="Q100" s="6">
        <v>0.98240417242050104</v>
      </c>
    </row>
    <row r="101" spans="1:17" x14ac:dyDescent="0.3">
      <c r="A101" s="10">
        <v>45956</v>
      </c>
      <c r="B101" s="6" t="s">
        <v>239</v>
      </c>
      <c r="C101" s="6" t="s">
        <v>144</v>
      </c>
      <c r="D101" s="6" t="s">
        <v>18</v>
      </c>
      <c r="E101" s="6">
        <v>2789</v>
      </c>
      <c r="F101" s="6">
        <v>42</v>
      </c>
      <c r="G101" s="6">
        <v>2831</v>
      </c>
      <c r="H101" s="6">
        <f>SUM(Table1[[#This Row],[Like]:[Shares]])</f>
        <v>5662</v>
      </c>
      <c r="I101" s="8">
        <v>2.64E-2</v>
      </c>
      <c r="J101" s="11">
        <v>1795670</v>
      </c>
      <c r="K101" s="11">
        <v>212887213</v>
      </c>
      <c r="L101" s="6" t="s">
        <v>240</v>
      </c>
      <c r="M101" s="6" t="s">
        <v>241</v>
      </c>
      <c r="N101" s="12" t="s">
        <v>641</v>
      </c>
      <c r="O101" s="12" t="s">
        <v>642</v>
      </c>
      <c r="P101" s="6" t="s">
        <v>77</v>
      </c>
      <c r="Q101" s="6">
        <v>0.83423328399658203</v>
      </c>
    </row>
    <row r="102" spans="1:17" x14ac:dyDescent="0.3">
      <c r="A102" s="10">
        <v>45957</v>
      </c>
      <c r="B102" s="6" t="s">
        <v>311</v>
      </c>
      <c r="C102" s="6" t="s">
        <v>312</v>
      </c>
      <c r="D102" s="6" t="s">
        <v>18</v>
      </c>
      <c r="E102" s="6">
        <v>2187</v>
      </c>
      <c r="F102" s="6">
        <v>83</v>
      </c>
      <c r="G102" s="6">
        <v>2270</v>
      </c>
      <c r="H102" s="6">
        <f>SUM(Table1[[#This Row],[Like]:[Shares]])</f>
        <v>4540</v>
      </c>
      <c r="I102" s="8">
        <v>1.34E-2</v>
      </c>
      <c r="J102" s="11">
        <v>1836850</v>
      </c>
      <c r="K102" s="11">
        <v>51452118957</v>
      </c>
      <c r="L102" s="6" t="s">
        <v>313</v>
      </c>
      <c r="M102" s="6" t="s">
        <v>314</v>
      </c>
      <c r="N102" s="6"/>
      <c r="O102" s="12" t="s">
        <v>663</v>
      </c>
      <c r="P102" s="6" t="s">
        <v>45</v>
      </c>
      <c r="Q102" s="6">
        <v>0.98617643117904596</v>
      </c>
    </row>
    <row r="103" spans="1:17" x14ac:dyDescent="0.3">
      <c r="A103" s="10">
        <v>45957</v>
      </c>
      <c r="B103" s="6" t="s">
        <v>189</v>
      </c>
      <c r="C103" s="6" t="s">
        <v>190</v>
      </c>
      <c r="D103" s="6" t="s">
        <v>18</v>
      </c>
      <c r="E103" s="6">
        <v>3303</v>
      </c>
      <c r="F103" s="6">
        <v>347</v>
      </c>
      <c r="G103" s="6">
        <v>3650</v>
      </c>
      <c r="H103" s="6">
        <f>SUM(Table1[[#This Row],[Like]:[Shares]])</f>
        <v>7300</v>
      </c>
      <c r="I103" s="8">
        <v>1.06E-2</v>
      </c>
      <c r="J103" s="11">
        <v>1817950</v>
      </c>
      <c r="K103" s="11">
        <v>2501583257</v>
      </c>
      <c r="L103" s="6" t="s">
        <v>191</v>
      </c>
      <c r="M103" s="6" t="s">
        <v>192</v>
      </c>
      <c r="N103" s="12" t="s">
        <v>624</v>
      </c>
      <c r="O103" s="12" t="s">
        <v>625</v>
      </c>
      <c r="P103" s="6" t="s">
        <v>77</v>
      </c>
      <c r="Q103" s="6">
        <v>0.92029261589050204</v>
      </c>
    </row>
    <row r="104" spans="1:17" x14ac:dyDescent="0.3">
      <c r="A104" s="10">
        <v>45957</v>
      </c>
      <c r="B104" s="6" t="s">
        <v>453</v>
      </c>
      <c r="C104" s="6" t="s">
        <v>454</v>
      </c>
      <c r="D104" s="6" t="s">
        <v>18</v>
      </c>
      <c r="E104" s="6">
        <v>1058</v>
      </c>
      <c r="F104" s="6">
        <v>408</v>
      </c>
      <c r="G104" s="6">
        <v>1466</v>
      </c>
      <c r="H104" s="6">
        <f>SUM(Table1[[#This Row],[Like]:[Shares]])</f>
        <v>2932</v>
      </c>
      <c r="I104" s="8">
        <v>5.1000000000000004E-3</v>
      </c>
      <c r="J104" s="11">
        <v>1808440</v>
      </c>
      <c r="K104" s="11">
        <v>4323969563</v>
      </c>
      <c r="L104" s="6" t="s">
        <v>455</v>
      </c>
      <c r="M104" s="6" t="s">
        <v>456</v>
      </c>
      <c r="N104" s="6"/>
      <c r="O104" s="12" t="s">
        <v>704</v>
      </c>
      <c r="P104" s="6" t="s">
        <v>77</v>
      </c>
      <c r="Q104" s="6">
        <v>0.59947752952575595</v>
      </c>
    </row>
    <row r="105" spans="1:17" x14ac:dyDescent="0.3">
      <c r="A105" s="10">
        <v>45957</v>
      </c>
      <c r="B105" s="6" t="s">
        <v>164</v>
      </c>
      <c r="C105" s="6" t="s">
        <v>165</v>
      </c>
      <c r="D105" s="6" t="s">
        <v>18</v>
      </c>
      <c r="E105" s="6">
        <v>4014</v>
      </c>
      <c r="F105" s="6">
        <v>251</v>
      </c>
      <c r="G105" s="6">
        <v>4265</v>
      </c>
      <c r="H105" s="6">
        <f>SUM(Table1[[#This Row],[Like]:[Shares]])</f>
        <v>8530</v>
      </c>
      <c r="I105" s="8">
        <v>2.3E-3</v>
      </c>
      <c r="J105" s="11">
        <v>1806170</v>
      </c>
      <c r="K105" s="11">
        <v>3428166241</v>
      </c>
      <c r="L105" s="6" t="s">
        <v>166</v>
      </c>
      <c r="M105" s="6" t="s">
        <v>167</v>
      </c>
      <c r="N105" s="6"/>
      <c r="O105" s="12" t="s">
        <v>618</v>
      </c>
      <c r="P105" s="6" t="s">
        <v>77</v>
      </c>
      <c r="Q105" s="6">
        <v>0.60005402565002397</v>
      </c>
    </row>
    <row r="106" spans="1:17" x14ac:dyDescent="0.3">
      <c r="A106" s="10">
        <v>45957</v>
      </c>
      <c r="B106" s="6" t="s">
        <v>516</v>
      </c>
      <c r="C106" s="6" t="s">
        <v>135</v>
      </c>
      <c r="D106" s="6" t="s">
        <v>18</v>
      </c>
      <c r="E106" s="6">
        <v>1164</v>
      </c>
      <c r="F106" s="6">
        <v>0</v>
      </c>
      <c r="G106" s="6">
        <v>1164</v>
      </c>
      <c r="H106" s="6">
        <f>SUM(Table1[[#This Row],[Like]:[Shares]])</f>
        <v>2328</v>
      </c>
      <c r="I106" s="8">
        <v>4.4999999999999997E-3</v>
      </c>
      <c r="J106" s="11">
        <v>1798760</v>
      </c>
      <c r="K106" s="11">
        <v>204256768</v>
      </c>
      <c r="L106" s="6" t="s">
        <v>517</v>
      </c>
      <c r="M106" s="6" t="s">
        <v>518</v>
      </c>
      <c r="N106" s="6"/>
      <c r="O106" s="12" t="s">
        <v>723</v>
      </c>
      <c r="P106" s="6" t="s">
        <v>23</v>
      </c>
      <c r="Q106" s="6">
        <v>0.89728385210037198</v>
      </c>
    </row>
    <row r="107" spans="1:17" x14ac:dyDescent="0.3">
      <c r="A107" s="10">
        <v>45957</v>
      </c>
      <c r="B107" s="6" t="s">
        <v>219</v>
      </c>
      <c r="C107" s="6" t="s">
        <v>220</v>
      </c>
      <c r="D107" s="6" t="s">
        <v>18</v>
      </c>
      <c r="E107" s="6">
        <v>3069</v>
      </c>
      <c r="F107" s="6">
        <v>58</v>
      </c>
      <c r="G107" s="6">
        <v>3127</v>
      </c>
      <c r="H107" s="6">
        <f>SUM(Table1[[#This Row],[Like]:[Shares]])</f>
        <v>6254</v>
      </c>
      <c r="I107" s="8">
        <v>1.1599999999999999E-2</v>
      </c>
      <c r="J107" s="11">
        <v>1792140</v>
      </c>
      <c r="K107" s="11">
        <v>253985751</v>
      </c>
      <c r="L107" s="6" t="s">
        <v>221</v>
      </c>
      <c r="M107" s="6" t="s">
        <v>222</v>
      </c>
      <c r="N107" s="12" t="s">
        <v>635</v>
      </c>
      <c r="O107" s="12" t="s">
        <v>636</v>
      </c>
      <c r="P107" s="6" t="s">
        <v>23</v>
      </c>
      <c r="Q107" s="6">
        <v>0.97785270214080799</v>
      </c>
    </row>
    <row r="108" spans="1:17" x14ac:dyDescent="0.3">
      <c r="A108" s="10">
        <v>45957</v>
      </c>
      <c r="B108" s="6" t="s">
        <v>339</v>
      </c>
      <c r="C108" s="6" t="s">
        <v>340</v>
      </c>
      <c r="D108" s="6" t="s">
        <v>18</v>
      </c>
      <c r="E108" s="6">
        <v>1877</v>
      </c>
      <c r="F108" s="6">
        <v>259</v>
      </c>
      <c r="G108" s="6">
        <v>2136</v>
      </c>
      <c r="H108" s="6">
        <f>SUM(Table1[[#This Row],[Like]:[Shares]])</f>
        <v>4272</v>
      </c>
      <c r="I108" s="8">
        <v>8.3000000000000001E-3</v>
      </c>
      <c r="J108" s="11">
        <v>1789450</v>
      </c>
      <c r="K108" s="11">
        <v>2206242099</v>
      </c>
      <c r="L108" s="6" t="s">
        <v>341</v>
      </c>
      <c r="M108" s="6" t="s">
        <v>342</v>
      </c>
      <c r="N108" s="12" t="s">
        <v>672</v>
      </c>
      <c r="O108" s="12" t="s">
        <v>673</v>
      </c>
      <c r="P108" s="6" t="s">
        <v>45</v>
      </c>
      <c r="Q108" s="6">
        <v>0.84032255411148005</v>
      </c>
    </row>
    <row r="109" spans="1:17" x14ac:dyDescent="0.3">
      <c r="A109" s="6" t="s">
        <v>745</v>
      </c>
      <c r="B109" s="6"/>
      <c r="C109" s="6">
        <f t="array" ref="C109">SUM(1/COUNTIF(Table1[Profile],Table1[Profile]))</f>
        <v>78.000000000000014</v>
      </c>
      <c r="D109" s="6"/>
      <c r="E109" s="6"/>
      <c r="F109" s="6"/>
      <c r="G109" s="6"/>
      <c r="H109" s="6">
        <f>SUBTOTAL(109,Table1[Engagement])</f>
        <v>1322629</v>
      </c>
      <c r="I109" s="6"/>
      <c r="J109" s="6"/>
      <c r="K109" s="6">
        <f t="array" ref="K109">SUM(1/COUNTIF(Table1[Profile],Table1[Profile]))</f>
        <v>78.000000000000014</v>
      </c>
      <c r="L109" s="6"/>
      <c r="M109" s="6"/>
      <c r="N109" s="6"/>
      <c r="O109" s="6"/>
      <c r="P109" s="6"/>
      <c r="Q109" s="6">
        <f>SUBTOTAL(109,Table1[sentimen_score])</f>
        <v>92.83148884773253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D8D5-DA90-4412-9491-69C8194BDAD4}">
  <dimension ref="A3:B20"/>
  <sheetViews>
    <sheetView workbookViewId="0">
      <selection activeCell="A3" sqref="A3:A20"/>
    </sheetView>
  </sheetViews>
  <sheetFormatPr defaultRowHeight="14.4" x14ac:dyDescent="0.3"/>
  <cols>
    <col min="1" max="1" width="12.5546875" bestFit="1" customWidth="1"/>
    <col min="2" max="2" width="16.77734375" bestFit="1" customWidth="1"/>
  </cols>
  <sheetData>
    <row r="3" spans="1:2" x14ac:dyDescent="0.3">
      <c r="A3" s="2" t="s">
        <v>740</v>
      </c>
      <c r="B3" t="s">
        <v>747</v>
      </c>
    </row>
    <row r="4" spans="1:2" x14ac:dyDescent="0.3">
      <c r="A4" s="4">
        <v>45939</v>
      </c>
      <c r="B4" s="5">
        <v>5</v>
      </c>
    </row>
    <row r="5" spans="1:2" x14ac:dyDescent="0.3">
      <c r="A5" s="4">
        <v>45940</v>
      </c>
      <c r="B5" s="5">
        <v>1</v>
      </c>
    </row>
    <row r="6" spans="1:2" x14ac:dyDescent="0.3">
      <c r="A6" s="4">
        <v>45942</v>
      </c>
      <c r="B6" s="5">
        <v>1</v>
      </c>
    </row>
    <row r="7" spans="1:2" x14ac:dyDescent="0.3">
      <c r="A7" s="4">
        <v>45944</v>
      </c>
      <c r="B7" s="5">
        <v>1</v>
      </c>
    </row>
    <row r="8" spans="1:2" x14ac:dyDescent="0.3">
      <c r="A8" s="4">
        <v>45946</v>
      </c>
      <c r="B8" s="5">
        <v>1</v>
      </c>
    </row>
    <row r="9" spans="1:2" x14ac:dyDescent="0.3">
      <c r="A9" s="4">
        <v>45947</v>
      </c>
      <c r="B9" s="5">
        <v>1</v>
      </c>
    </row>
    <row r="10" spans="1:2" x14ac:dyDescent="0.3">
      <c r="A10" s="4">
        <v>45948</v>
      </c>
      <c r="B10" s="5">
        <v>1</v>
      </c>
    </row>
    <row r="11" spans="1:2" x14ac:dyDescent="0.3">
      <c r="A11" s="4">
        <v>45949</v>
      </c>
      <c r="B11" s="5">
        <v>3</v>
      </c>
    </row>
    <row r="12" spans="1:2" x14ac:dyDescent="0.3">
      <c r="A12" s="4">
        <v>45950</v>
      </c>
      <c r="B12" s="5">
        <v>6</v>
      </c>
    </row>
    <row r="13" spans="1:2" x14ac:dyDescent="0.3">
      <c r="A13" s="4">
        <v>45951</v>
      </c>
      <c r="B13" s="5">
        <v>2</v>
      </c>
    </row>
    <row r="14" spans="1:2" x14ac:dyDescent="0.3">
      <c r="A14" s="4">
        <v>45952</v>
      </c>
      <c r="B14" s="5">
        <v>19</v>
      </c>
    </row>
    <row r="15" spans="1:2" x14ac:dyDescent="0.3">
      <c r="A15" s="4">
        <v>45953</v>
      </c>
      <c r="B15" s="5">
        <v>33</v>
      </c>
    </row>
    <row r="16" spans="1:2" x14ac:dyDescent="0.3">
      <c r="A16" s="4">
        <v>45954</v>
      </c>
      <c r="B16" s="5">
        <v>17</v>
      </c>
    </row>
    <row r="17" spans="1:2" x14ac:dyDescent="0.3">
      <c r="A17" s="4">
        <v>45955</v>
      </c>
      <c r="B17" s="5">
        <v>6</v>
      </c>
    </row>
    <row r="18" spans="1:2" x14ac:dyDescent="0.3">
      <c r="A18" s="4">
        <v>45956</v>
      </c>
      <c r="B18" s="5">
        <v>3</v>
      </c>
    </row>
    <row r="19" spans="1:2" x14ac:dyDescent="0.3">
      <c r="A19" s="4">
        <v>45957</v>
      </c>
      <c r="B19" s="5">
        <v>7</v>
      </c>
    </row>
    <row r="20" spans="1:2" x14ac:dyDescent="0.3">
      <c r="A20" s="4" t="s">
        <v>741</v>
      </c>
      <c r="B20" s="5">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E49E-937B-4549-BED8-B71DB00E9216}">
  <dimension ref="A3:B20"/>
  <sheetViews>
    <sheetView workbookViewId="0">
      <selection activeCell="F23" sqref="F23"/>
    </sheetView>
  </sheetViews>
  <sheetFormatPr defaultRowHeight="14.4" x14ac:dyDescent="0.3"/>
  <cols>
    <col min="1" max="1" width="12.5546875" bestFit="1" customWidth="1"/>
    <col min="2" max="3" width="16.21875" bestFit="1" customWidth="1"/>
  </cols>
  <sheetData>
    <row r="3" spans="1:2" x14ac:dyDescent="0.3">
      <c r="A3" s="2" t="s">
        <v>740</v>
      </c>
      <c r="B3" t="s">
        <v>744</v>
      </c>
    </row>
    <row r="4" spans="1:2" x14ac:dyDescent="0.3">
      <c r="A4" s="4">
        <v>45939</v>
      </c>
      <c r="B4" s="5">
        <v>5</v>
      </c>
    </row>
    <row r="5" spans="1:2" x14ac:dyDescent="0.3">
      <c r="A5" s="4">
        <v>45940</v>
      </c>
      <c r="B5" s="5">
        <v>1</v>
      </c>
    </row>
    <row r="6" spans="1:2" x14ac:dyDescent="0.3">
      <c r="A6" s="4">
        <v>45942</v>
      </c>
      <c r="B6" s="5">
        <v>1</v>
      </c>
    </row>
    <row r="7" spans="1:2" x14ac:dyDescent="0.3">
      <c r="A7" s="4">
        <v>45944</v>
      </c>
      <c r="B7" s="5">
        <v>1</v>
      </c>
    </row>
    <row r="8" spans="1:2" x14ac:dyDescent="0.3">
      <c r="A8" s="4">
        <v>45946</v>
      </c>
      <c r="B8" s="5">
        <v>1</v>
      </c>
    </row>
    <row r="9" spans="1:2" x14ac:dyDescent="0.3">
      <c r="A9" s="4">
        <v>45947</v>
      </c>
      <c r="B9" s="5">
        <v>1</v>
      </c>
    </row>
    <row r="10" spans="1:2" x14ac:dyDescent="0.3">
      <c r="A10" s="4">
        <v>45948</v>
      </c>
      <c r="B10" s="5">
        <v>1</v>
      </c>
    </row>
    <row r="11" spans="1:2" x14ac:dyDescent="0.3">
      <c r="A11" s="4">
        <v>45949</v>
      </c>
      <c r="B11" s="5">
        <v>3</v>
      </c>
    </row>
    <row r="12" spans="1:2" x14ac:dyDescent="0.3">
      <c r="A12" s="4">
        <v>45950</v>
      </c>
      <c r="B12" s="5">
        <v>6</v>
      </c>
    </row>
    <row r="13" spans="1:2" x14ac:dyDescent="0.3">
      <c r="A13" s="4">
        <v>45951</v>
      </c>
      <c r="B13" s="5">
        <v>2</v>
      </c>
    </row>
    <row r="14" spans="1:2" x14ac:dyDescent="0.3">
      <c r="A14" s="4">
        <v>45952</v>
      </c>
      <c r="B14" s="5">
        <v>19</v>
      </c>
    </row>
    <row r="15" spans="1:2" x14ac:dyDescent="0.3">
      <c r="A15" s="4">
        <v>45953</v>
      </c>
      <c r="B15" s="5">
        <v>33</v>
      </c>
    </row>
    <row r="16" spans="1:2" x14ac:dyDescent="0.3">
      <c r="A16" s="4">
        <v>45954</v>
      </c>
      <c r="B16" s="5">
        <v>17</v>
      </c>
    </row>
    <row r="17" spans="1:2" x14ac:dyDescent="0.3">
      <c r="A17" s="4">
        <v>45955</v>
      </c>
      <c r="B17" s="5">
        <v>6</v>
      </c>
    </row>
    <row r="18" spans="1:2" x14ac:dyDescent="0.3">
      <c r="A18" s="4">
        <v>45956</v>
      </c>
      <c r="B18" s="5">
        <v>3</v>
      </c>
    </row>
    <row r="19" spans="1:2" x14ac:dyDescent="0.3">
      <c r="A19" s="4">
        <v>45957</v>
      </c>
      <c r="B19" s="5">
        <v>7</v>
      </c>
    </row>
    <row r="20" spans="1:2" x14ac:dyDescent="0.3">
      <c r="A20" s="4" t="s">
        <v>741</v>
      </c>
      <c r="B20" s="5">
        <v>107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899-DD57-491C-A89A-11ABAB2CE963}">
  <dimension ref="A3:B7"/>
  <sheetViews>
    <sheetView workbookViewId="0">
      <selection activeCell="H21" sqref="H21"/>
    </sheetView>
  </sheetViews>
  <sheetFormatPr defaultRowHeight="14.4" x14ac:dyDescent="0.3"/>
  <cols>
    <col min="1" max="1" width="12.5546875" bestFit="1" customWidth="1"/>
    <col min="2" max="2" width="16.6640625" bestFit="1" customWidth="1"/>
  </cols>
  <sheetData>
    <row r="3" spans="1:2" x14ac:dyDescent="0.3">
      <c r="A3" s="2" t="s">
        <v>740</v>
      </c>
      <c r="B3" t="s">
        <v>742</v>
      </c>
    </row>
    <row r="4" spans="1:2" x14ac:dyDescent="0.3">
      <c r="A4" s="3" t="s">
        <v>77</v>
      </c>
      <c r="B4" s="5">
        <v>17</v>
      </c>
    </row>
    <row r="5" spans="1:2" x14ac:dyDescent="0.3">
      <c r="A5" s="3" t="s">
        <v>23</v>
      </c>
      <c r="B5" s="5">
        <v>69</v>
      </c>
    </row>
    <row r="6" spans="1:2" x14ac:dyDescent="0.3">
      <c r="A6" s="3" t="s">
        <v>45</v>
      </c>
      <c r="B6" s="5">
        <v>21</v>
      </c>
    </row>
    <row r="7" spans="1:2" x14ac:dyDescent="0.3">
      <c r="A7" s="3" t="s">
        <v>741</v>
      </c>
      <c r="B7" s="5">
        <v>107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9EDB-F6D9-4896-9A26-559C601FA7EA}">
  <dimension ref="A3:E21"/>
  <sheetViews>
    <sheetView zoomScale="70" zoomScaleNormal="70" workbookViewId="0">
      <selection activeCell="O34" sqref="O34"/>
    </sheetView>
  </sheetViews>
  <sheetFormatPr defaultRowHeight="14.4" x14ac:dyDescent="0.3"/>
  <cols>
    <col min="1" max="1" width="16.6640625" bestFit="1" customWidth="1"/>
    <col min="2" max="2" width="15.5546875" bestFit="1" customWidth="1"/>
    <col min="3" max="3" width="6.109375" bestFit="1" customWidth="1"/>
    <col min="4" max="4" width="6.21875" bestFit="1" customWidth="1"/>
    <col min="5" max="5" width="10.77734375" bestFit="1" customWidth="1"/>
  </cols>
  <sheetData>
    <row r="3" spans="1:5" x14ac:dyDescent="0.3">
      <c r="A3" s="2" t="s">
        <v>742</v>
      </c>
      <c r="B3" s="2" t="s">
        <v>743</v>
      </c>
    </row>
    <row r="4" spans="1:5" x14ac:dyDescent="0.3">
      <c r="A4" s="2" t="s">
        <v>740</v>
      </c>
      <c r="B4" t="s">
        <v>77</v>
      </c>
      <c r="C4" t="s">
        <v>23</v>
      </c>
      <c r="D4" t="s">
        <v>45</v>
      </c>
      <c r="E4" t="s">
        <v>741</v>
      </c>
    </row>
    <row r="5" spans="1:5" x14ac:dyDescent="0.3">
      <c r="A5" s="4">
        <v>45939</v>
      </c>
      <c r="B5" s="5"/>
      <c r="C5" s="5">
        <v>2</v>
      </c>
      <c r="D5" s="5">
        <v>3</v>
      </c>
      <c r="E5" s="5">
        <v>5</v>
      </c>
    </row>
    <row r="6" spans="1:5" x14ac:dyDescent="0.3">
      <c r="A6" s="4">
        <v>45940</v>
      </c>
      <c r="B6" s="5"/>
      <c r="C6" s="5">
        <v>1</v>
      </c>
      <c r="D6" s="5"/>
      <c r="E6" s="5">
        <v>1</v>
      </c>
    </row>
    <row r="7" spans="1:5" x14ac:dyDescent="0.3">
      <c r="A7" s="4">
        <v>45942</v>
      </c>
      <c r="B7" s="5"/>
      <c r="C7" s="5">
        <v>1</v>
      </c>
      <c r="D7" s="5"/>
      <c r="E7" s="5">
        <v>1</v>
      </c>
    </row>
    <row r="8" spans="1:5" x14ac:dyDescent="0.3">
      <c r="A8" s="4">
        <v>45944</v>
      </c>
      <c r="B8" s="5"/>
      <c r="C8" s="5">
        <v>1</v>
      </c>
      <c r="D8" s="5"/>
      <c r="E8" s="5">
        <v>1</v>
      </c>
    </row>
    <row r="9" spans="1:5" x14ac:dyDescent="0.3">
      <c r="A9" s="4">
        <v>45946</v>
      </c>
      <c r="B9" s="5"/>
      <c r="C9" s="5">
        <v>1</v>
      </c>
      <c r="D9" s="5"/>
      <c r="E9" s="5">
        <v>1</v>
      </c>
    </row>
    <row r="10" spans="1:5" x14ac:dyDescent="0.3">
      <c r="A10" s="4">
        <v>45947</v>
      </c>
      <c r="B10" s="5"/>
      <c r="C10" s="5"/>
      <c r="D10" s="5">
        <v>1</v>
      </c>
      <c r="E10" s="5">
        <v>1</v>
      </c>
    </row>
    <row r="11" spans="1:5" x14ac:dyDescent="0.3">
      <c r="A11" s="4">
        <v>45948</v>
      </c>
      <c r="B11" s="5"/>
      <c r="C11" s="5">
        <v>1</v>
      </c>
      <c r="D11" s="5"/>
      <c r="E11" s="5">
        <v>1</v>
      </c>
    </row>
    <row r="12" spans="1:5" x14ac:dyDescent="0.3">
      <c r="A12" s="4">
        <v>45949</v>
      </c>
      <c r="B12" s="5"/>
      <c r="C12" s="5">
        <v>2</v>
      </c>
      <c r="D12" s="5">
        <v>1</v>
      </c>
      <c r="E12" s="5">
        <v>3</v>
      </c>
    </row>
    <row r="13" spans="1:5" x14ac:dyDescent="0.3">
      <c r="A13" s="4">
        <v>45950</v>
      </c>
      <c r="B13" s="5"/>
      <c r="C13" s="5">
        <v>6</v>
      </c>
      <c r="D13" s="5"/>
      <c r="E13" s="5">
        <v>6</v>
      </c>
    </row>
    <row r="14" spans="1:5" x14ac:dyDescent="0.3">
      <c r="A14" s="4">
        <v>45951</v>
      </c>
      <c r="B14" s="5"/>
      <c r="C14" s="5">
        <v>2</v>
      </c>
      <c r="D14" s="5"/>
      <c r="E14" s="5">
        <v>2</v>
      </c>
    </row>
    <row r="15" spans="1:5" x14ac:dyDescent="0.3">
      <c r="A15" s="4">
        <v>45952</v>
      </c>
      <c r="B15" s="5">
        <v>3</v>
      </c>
      <c r="C15" s="5">
        <v>14</v>
      </c>
      <c r="D15" s="5">
        <v>2</v>
      </c>
      <c r="E15" s="5">
        <v>19</v>
      </c>
    </row>
    <row r="16" spans="1:5" x14ac:dyDescent="0.3">
      <c r="A16" s="4">
        <v>45953</v>
      </c>
      <c r="B16" s="5">
        <v>8</v>
      </c>
      <c r="C16" s="5">
        <v>21</v>
      </c>
      <c r="D16" s="5">
        <v>4</v>
      </c>
      <c r="E16" s="5">
        <v>33</v>
      </c>
    </row>
    <row r="17" spans="1:5" x14ac:dyDescent="0.3">
      <c r="A17" s="4">
        <v>45954</v>
      </c>
      <c r="B17" s="5">
        <v>2</v>
      </c>
      <c r="C17" s="5">
        <v>11</v>
      </c>
      <c r="D17" s="5">
        <v>4</v>
      </c>
      <c r="E17" s="5">
        <v>17</v>
      </c>
    </row>
    <row r="18" spans="1:5" x14ac:dyDescent="0.3">
      <c r="A18" s="4">
        <v>45955</v>
      </c>
      <c r="B18" s="5"/>
      <c r="C18" s="5">
        <v>3</v>
      </c>
      <c r="D18" s="5">
        <v>3</v>
      </c>
      <c r="E18" s="5">
        <v>6</v>
      </c>
    </row>
    <row r="19" spans="1:5" x14ac:dyDescent="0.3">
      <c r="A19" s="4">
        <v>45956</v>
      </c>
      <c r="B19" s="5">
        <v>1</v>
      </c>
      <c r="C19" s="5">
        <v>1</v>
      </c>
      <c r="D19" s="5">
        <v>1</v>
      </c>
      <c r="E19" s="5">
        <v>3</v>
      </c>
    </row>
    <row r="20" spans="1:5" x14ac:dyDescent="0.3">
      <c r="A20" s="4">
        <v>45957</v>
      </c>
      <c r="B20" s="5">
        <v>3</v>
      </c>
      <c r="C20" s="5">
        <v>2</v>
      </c>
      <c r="D20" s="5">
        <v>2</v>
      </c>
      <c r="E20" s="5">
        <v>7</v>
      </c>
    </row>
    <row r="21" spans="1:5" x14ac:dyDescent="0.3">
      <c r="A21" s="4" t="s">
        <v>741</v>
      </c>
      <c r="B21" s="5">
        <v>17</v>
      </c>
      <c r="C21" s="5">
        <v>69</v>
      </c>
      <c r="D21" s="5">
        <v>21</v>
      </c>
      <c r="E21" s="5">
        <v>107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3AAE-A940-4C4A-BB51-48F4BF93A6D1}">
  <dimension ref="A1:C5"/>
  <sheetViews>
    <sheetView workbookViewId="0">
      <selection activeCell="C5" sqref="A1:C5"/>
    </sheetView>
  </sheetViews>
  <sheetFormatPr defaultRowHeight="14.4" x14ac:dyDescent="0.3"/>
  <cols>
    <col min="1" max="1" width="21.5546875" customWidth="1"/>
    <col min="2" max="3" width="30.33203125" customWidth="1"/>
  </cols>
  <sheetData>
    <row r="1" spans="1:3" x14ac:dyDescent="0.3">
      <c r="A1" s="16" t="s">
        <v>748</v>
      </c>
      <c r="B1" s="16" t="s">
        <v>749</v>
      </c>
      <c r="C1" s="16" t="s">
        <v>750</v>
      </c>
    </row>
    <row r="2" spans="1:3" ht="43.2" x14ac:dyDescent="0.3">
      <c r="A2" s="17" t="s">
        <v>751</v>
      </c>
      <c r="B2" s="18" t="s">
        <v>752</v>
      </c>
      <c r="C2" s="18" t="s">
        <v>753</v>
      </c>
    </row>
    <row r="3" spans="1:3" ht="43.2" x14ac:dyDescent="0.3">
      <c r="A3" s="17" t="s">
        <v>754</v>
      </c>
      <c r="B3" s="18" t="s">
        <v>755</v>
      </c>
      <c r="C3" s="18" t="s">
        <v>756</v>
      </c>
    </row>
    <row r="4" spans="1:3" ht="43.2" x14ac:dyDescent="0.3">
      <c r="A4" s="17" t="s">
        <v>757</v>
      </c>
      <c r="B4" s="18" t="s">
        <v>758</v>
      </c>
      <c r="C4" s="18" t="s">
        <v>759</v>
      </c>
    </row>
    <row r="5" spans="1:3" ht="43.2" x14ac:dyDescent="0.3">
      <c r="A5" s="17" t="s">
        <v>760</v>
      </c>
      <c r="B5" s="18" t="s">
        <v>761</v>
      </c>
      <c r="C5" s="18" t="s">
        <v>762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806DE-54E2-4DDC-852B-9AA7AC78EC70}">
  <dimension ref="A1:C5"/>
  <sheetViews>
    <sheetView workbookViewId="0">
      <selection sqref="A1:C5"/>
    </sheetView>
  </sheetViews>
  <sheetFormatPr defaultRowHeight="14.4" x14ac:dyDescent="0.3"/>
  <cols>
    <col min="1" max="1" width="21.5546875" customWidth="1"/>
    <col min="2" max="3" width="26.6640625" customWidth="1"/>
  </cols>
  <sheetData>
    <row r="1" spans="1:3" x14ac:dyDescent="0.3">
      <c r="A1" s="13" t="s">
        <v>763</v>
      </c>
      <c r="B1" s="13" t="s">
        <v>764</v>
      </c>
      <c r="C1" s="13" t="s">
        <v>765</v>
      </c>
    </row>
    <row r="2" spans="1:3" ht="57.6" x14ac:dyDescent="0.3">
      <c r="A2" s="15" t="s">
        <v>766</v>
      </c>
      <c r="B2" s="14" t="s">
        <v>767</v>
      </c>
      <c r="C2" s="14" t="s">
        <v>768</v>
      </c>
    </row>
    <row r="3" spans="1:3" ht="43.2" x14ac:dyDescent="0.3">
      <c r="A3" s="15" t="s">
        <v>769</v>
      </c>
      <c r="B3" s="14" t="s">
        <v>770</v>
      </c>
      <c r="C3" s="14" t="s">
        <v>771</v>
      </c>
    </row>
    <row r="4" spans="1:3" ht="28.8" x14ac:dyDescent="0.3">
      <c r="A4" s="15" t="s">
        <v>772</v>
      </c>
      <c r="B4" s="14" t="s">
        <v>773</v>
      </c>
      <c r="C4" s="14" t="s">
        <v>774</v>
      </c>
    </row>
    <row r="5" spans="1:3" ht="43.2" x14ac:dyDescent="0.3">
      <c r="A5" s="15" t="s">
        <v>775</v>
      </c>
      <c r="B5" s="14" t="s">
        <v>776</v>
      </c>
      <c r="C5" s="14" t="s">
        <v>777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2AA3-5022-4296-8B1D-6B7B48E8E033}">
  <dimension ref="A1:D5"/>
  <sheetViews>
    <sheetView tabSelected="1" workbookViewId="0">
      <selection activeCell="D19" sqref="D19"/>
    </sheetView>
  </sheetViews>
  <sheetFormatPr defaultRowHeight="14.4" x14ac:dyDescent="0.3"/>
  <cols>
    <col min="1" max="4" width="27.44140625" customWidth="1"/>
  </cols>
  <sheetData>
    <row r="1" spans="1:4" x14ac:dyDescent="0.3">
      <c r="A1" s="13" t="s">
        <v>778</v>
      </c>
      <c r="B1" s="13" t="s">
        <v>779</v>
      </c>
      <c r="C1" s="13" t="s">
        <v>780</v>
      </c>
      <c r="D1" s="13" t="s">
        <v>781</v>
      </c>
    </row>
    <row r="2" spans="1:4" ht="28.8" x14ac:dyDescent="0.3">
      <c r="A2" s="15" t="s">
        <v>782</v>
      </c>
      <c r="B2" s="14" t="s">
        <v>783</v>
      </c>
      <c r="C2" s="14" t="s">
        <v>784</v>
      </c>
      <c r="D2" s="14" t="s">
        <v>785</v>
      </c>
    </row>
    <row r="3" spans="1:4" ht="43.2" x14ac:dyDescent="0.3">
      <c r="A3" s="15" t="s">
        <v>786</v>
      </c>
      <c r="B3" s="14" t="s">
        <v>787</v>
      </c>
      <c r="C3" s="14" t="s">
        <v>788</v>
      </c>
      <c r="D3" s="14" t="s">
        <v>789</v>
      </c>
    </row>
    <row r="4" spans="1:4" ht="28.8" x14ac:dyDescent="0.3">
      <c r="A4" s="15" t="s">
        <v>790</v>
      </c>
      <c r="B4" s="14" t="s">
        <v>791</v>
      </c>
      <c r="C4" s="14" t="s">
        <v>792</v>
      </c>
      <c r="D4" s="14" t="s">
        <v>793</v>
      </c>
    </row>
    <row r="5" spans="1:4" ht="43.2" x14ac:dyDescent="0.3">
      <c r="A5" s="15" t="s">
        <v>794</v>
      </c>
      <c r="B5" s="14" t="s">
        <v>795</v>
      </c>
      <c r="C5" s="14" t="s">
        <v>796</v>
      </c>
      <c r="D5" s="14"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vt:lpstr>
      <vt:lpstr>Data</vt:lpstr>
      <vt:lpstr>User</vt:lpstr>
      <vt:lpstr>Tren</vt:lpstr>
      <vt:lpstr>Sentimen</vt:lpstr>
      <vt:lpstr>Tren Sentimen</vt:lpstr>
      <vt:lpstr>Tema</vt:lpstr>
      <vt:lpstr>Opsi Iklan</vt:lpstr>
      <vt:lpstr>Channel Efektif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 Achmadfr</dc:creator>
  <cp:lastModifiedBy>Rafi Achmadfr</cp:lastModifiedBy>
  <dcterms:created xsi:type="dcterms:W3CDTF">2025-10-28T16:08:35Z</dcterms:created>
  <dcterms:modified xsi:type="dcterms:W3CDTF">2025-10-29T05:56:40Z</dcterms:modified>
</cp:coreProperties>
</file>